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SHIVA DOCUMENTS\"/>
    </mc:Choice>
  </mc:AlternateContent>
  <xr:revisionPtr revIDLastSave="0" documentId="8_{2BECBFDA-C064-4104-B205-A68652C34AF3}" xr6:coauthVersionLast="47" xr6:coauthVersionMax="47" xr10:uidLastSave="{00000000-0000-0000-0000-000000000000}"/>
  <bookViews>
    <workbookView xWindow="-108" yWindow="-108" windowWidth="23256" windowHeight="12456" activeTab="1" xr2:uid="{00000000-000D-0000-FFFF-FFFF00000000}"/>
  </bookViews>
  <sheets>
    <sheet name="Employee_Performance_Data" sheetId="1" r:id="rId1"/>
    <sheet name="DASHBOARD CREATION" sheetId="3" r:id="rId2"/>
    <sheet name="Advanced_Excel_Tasks" sheetId="2" state="hidden" r:id="rId3"/>
  </sheets>
  <definedNames>
    <definedName name="Slicer_Department">#N/A</definedName>
    <definedName name="Slicer_Name">#N/A</definedName>
    <definedName name="Slicer_Region">#N/A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<sst xmlns="http://schemas.openxmlformats.org/spreadsheetml/2006/main" count="578" uniqueCount="172">
  <si>
    <t>Emp_ID</t>
  </si>
  <si>
    <t>Department</t>
  </si>
  <si>
    <t>Region</t>
  </si>
  <si>
    <t>Monthly_Salary</t>
  </si>
  <si>
    <t>Projects_Completed</t>
  </si>
  <si>
    <t>Performance_Score</t>
  </si>
  <si>
    <t>Training_Hours</t>
  </si>
  <si>
    <t>Bonus</t>
  </si>
  <si>
    <t>Joining_Year</t>
  </si>
  <si>
    <t>Work_Mode</t>
  </si>
  <si>
    <t>E001</t>
  </si>
  <si>
    <t>Manoj</t>
  </si>
  <si>
    <t>Finance</t>
  </si>
  <si>
    <t>West</t>
  </si>
  <si>
    <t>Remote</t>
  </si>
  <si>
    <t>E002</t>
  </si>
  <si>
    <t>Ishita</t>
  </si>
  <si>
    <t>Data Science</t>
  </si>
  <si>
    <t>East</t>
  </si>
  <si>
    <t>E003</t>
  </si>
  <si>
    <t>Rahul</t>
  </si>
  <si>
    <t>Operations</t>
  </si>
  <si>
    <t>Office</t>
  </si>
  <si>
    <t>E004</t>
  </si>
  <si>
    <t>Ajay</t>
  </si>
  <si>
    <t>IT</t>
  </si>
  <si>
    <t>E005</t>
  </si>
  <si>
    <t>Neha</t>
  </si>
  <si>
    <t>North</t>
  </si>
  <si>
    <t>E006</t>
  </si>
  <si>
    <t>Meera</t>
  </si>
  <si>
    <t>Marketing</t>
  </si>
  <si>
    <t>South</t>
  </si>
  <si>
    <t>Hybrid</t>
  </si>
  <si>
    <t>E007</t>
  </si>
  <si>
    <t>E008</t>
  </si>
  <si>
    <t>Divya</t>
  </si>
  <si>
    <t>E009</t>
  </si>
  <si>
    <t>Priya</t>
  </si>
  <si>
    <t>HR</t>
  </si>
  <si>
    <t>E010</t>
  </si>
  <si>
    <t>Rohit</t>
  </si>
  <si>
    <t>E011</t>
  </si>
  <si>
    <t>E012</t>
  </si>
  <si>
    <t>Sneha</t>
  </si>
  <si>
    <t>E013</t>
  </si>
  <si>
    <t>E014</t>
  </si>
  <si>
    <t>Pooja</t>
  </si>
  <si>
    <t>E015</t>
  </si>
  <si>
    <t>Varun</t>
  </si>
  <si>
    <t>E016</t>
  </si>
  <si>
    <t>E017</t>
  </si>
  <si>
    <t>E018</t>
  </si>
  <si>
    <t>Kavya</t>
  </si>
  <si>
    <t>E019</t>
  </si>
  <si>
    <t>Ananya</t>
  </si>
  <si>
    <t>E020</t>
  </si>
  <si>
    <t>E021</t>
  </si>
  <si>
    <t>E022</t>
  </si>
  <si>
    <t>E023</t>
  </si>
  <si>
    <t>E024</t>
  </si>
  <si>
    <t>Vivek</t>
  </si>
  <si>
    <t>E025</t>
  </si>
  <si>
    <t>Nikhil</t>
  </si>
  <si>
    <t>E026</t>
  </si>
  <si>
    <t>E027</t>
  </si>
  <si>
    <t>E028</t>
  </si>
  <si>
    <t>E029</t>
  </si>
  <si>
    <t>Sanjay</t>
  </si>
  <si>
    <t>E030</t>
  </si>
  <si>
    <t>E031</t>
  </si>
  <si>
    <t>Arjun</t>
  </si>
  <si>
    <t>E032</t>
  </si>
  <si>
    <t>Kiran</t>
  </si>
  <si>
    <t>E033</t>
  </si>
  <si>
    <t>E034</t>
  </si>
  <si>
    <t>E035</t>
  </si>
  <si>
    <t>E036</t>
  </si>
  <si>
    <t>E037</t>
  </si>
  <si>
    <t>E038</t>
  </si>
  <si>
    <t>E039</t>
  </si>
  <si>
    <t>E040</t>
  </si>
  <si>
    <t>E041</t>
  </si>
  <si>
    <t>E042</t>
  </si>
  <si>
    <t>E043</t>
  </si>
  <si>
    <t>E044</t>
  </si>
  <si>
    <t>E045</t>
  </si>
  <si>
    <t>E046</t>
  </si>
  <si>
    <t>E047</t>
  </si>
  <si>
    <t>E048</t>
  </si>
  <si>
    <t>Ritika</t>
  </si>
  <si>
    <t>E049</t>
  </si>
  <si>
    <t>E050</t>
  </si>
  <si>
    <t>E051</t>
  </si>
  <si>
    <t>E052</t>
  </si>
  <si>
    <t>E053</t>
  </si>
  <si>
    <t>E054</t>
  </si>
  <si>
    <t>E055</t>
  </si>
  <si>
    <t>E056</t>
  </si>
  <si>
    <t>E057</t>
  </si>
  <si>
    <t>E058</t>
  </si>
  <si>
    <t>E059</t>
  </si>
  <si>
    <t>E060</t>
  </si>
  <si>
    <t>E061</t>
  </si>
  <si>
    <t>E062</t>
  </si>
  <si>
    <t>E063</t>
  </si>
  <si>
    <t>E064</t>
  </si>
  <si>
    <t>E065</t>
  </si>
  <si>
    <t>E066</t>
  </si>
  <si>
    <t>E067</t>
  </si>
  <si>
    <t>E068</t>
  </si>
  <si>
    <t>E069</t>
  </si>
  <si>
    <t>E070</t>
  </si>
  <si>
    <t>E071</t>
  </si>
  <si>
    <t>E072</t>
  </si>
  <si>
    <t>E073</t>
  </si>
  <si>
    <t>E074</t>
  </si>
  <si>
    <t>E075</t>
  </si>
  <si>
    <t>E076</t>
  </si>
  <si>
    <t>E077</t>
  </si>
  <si>
    <t>E078</t>
  </si>
  <si>
    <t>E079</t>
  </si>
  <si>
    <t>E080</t>
  </si>
  <si>
    <t>E081</t>
  </si>
  <si>
    <t>E082</t>
  </si>
  <si>
    <t>E083</t>
  </si>
  <si>
    <t>E084</t>
  </si>
  <si>
    <t>E085</t>
  </si>
  <si>
    <t>E086</t>
  </si>
  <si>
    <t>E087</t>
  </si>
  <si>
    <t>E088</t>
  </si>
  <si>
    <t>E089</t>
  </si>
  <si>
    <t>E090</t>
  </si>
  <si>
    <t>E091</t>
  </si>
  <si>
    <t>E092</t>
  </si>
  <si>
    <t>E093</t>
  </si>
  <si>
    <t>E094</t>
  </si>
  <si>
    <t>E095</t>
  </si>
  <si>
    <t>E096</t>
  </si>
  <si>
    <t>E097</t>
  </si>
  <si>
    <t>E098</t>
  </si>
  <si>
    <t>E099</t>
  </si>
  <si>
    <t>E100</t>
  </si>
  <si>
    <t>ADVANCED EXCEL PROJECT TASKS</t>
  </si>
  <si>
    <t>PART 1 - Create Calculated Columns:</t>
  </si>
  <si>
    <t>1. Create a new column 'Annual Salary' = Monthly_Salary * 12</t>
  </si>
  <si>
    <t>2. Create a new column 'Total Compensation' = Annual Salary + Bonus</t>
  </si>
  <si>
    <t>3. Create a new column 'Efficiency Index' = Projects_Completed / Experience_Years</t>
  </si>
  <si>
    <t>PART 2 - Conditional Formatting:</t>
  </si>
  <si>
    <t>4. Highlight employees with Performance_Score &gt; 90</t>
  </si>
  <si>
    <t>5. Highlight Bonus less than 10000</t>
  </si>
  <si>
    <t>6. Highlight employees having Training_Hours &gt; 60</t>
  </si>
  <si>
    <t>PART 3 - Advanced Excel Functions:</t>
  </si>
  <si>
    <t>7. Use XLOOKUP to fetch Department of employee with Emp_ID = E025</t>
  </si>
  <si>
    <t>8. Use INDEX + MATCH to fetch Monthly_Salary of employee named Priya</t>
  </si>
  <si>
    <t>13. Find maximum salary in Finance department</t>
  </si>
  <si>
    <t>14. Find minimum Performance_Score in HR department</t>
  </si>
  <si>
    <t>15. Calculate average Training_Hours for Data Science department</t>
  </si>
  <si>
    <t>16. Find total Projects_Completed by employees having experience &gt; 5 years</t>
  </si>
  <si>
    <t>9. Use IF function to classify employees as 'High Performer' if score is more than 85 else 'Average Performer'</t>
  </si>
  <si>
    <t>Name</t>
  </si>
  <si>
    <t>ExperienceYears</t>
  </si>
  <si>
    <t>PART 4 - Basic Function Questions:</t>
  </si>
  <si>
    <t>Row Labels</t>
  </si>
  <si>
    <t>Grand Total</t>
  </si>
  <si>
    <t>Sum of Monthly_Salary</t>
  </si>
  <si>
    <t>Sum of Performance_Score</t>
  </si>
  <si>
    <t>Sum of Bonus</t>
  </si>
  <si>
    <t>Sum of Projects_Completed</t>
  </si>
  <si>
    <t>Max of Training_Hours</t>
  </si>
  <si>
    <t>(All)</t>
  </si>
  <si>
    <t>EMPLOYEE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</si>
</sst>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7" x14ac:knownFonts="1">
    <font>
      <sz val="11"/>
      <color theme="1"/>
      <name val="Calibri"/>
      <family val="2"/>
      <scheme val="minor"/>
    </font>
    <font>
      <b/>
      <sz val="11"/>
      <name val="Calibri"/>
    </font>
    <font>
      <sz val="11"/>
      <name val="Calibri"/>
    </font>
    <font>
      <sz val="11"/>
      <name val="Calibri"/>
      <family val="2"/>
    </font>
    <font>
      <b/>
      <sz val="11"/>
      <name val="Calibri"/>
      <family val="2"/>
    </font>
    <font>
      <sz val="11"/>
      <color theme="1"/>
      <name val="Calibri"/>
      <family val="2"/>
      <scheme val="minor"/>
    </font>
    <font>
      <b/>
      <sz val="24"/>
      <color rgb="FFFF0000"/>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6"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164" fontId="5" fillId="0" borderId="0" applyFont="0" applyFill="0" applyBorder="0" applyAlignment="0" applyProtection="0"/>
  </cellStyleXfs>
  <cellXfs count="1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1" xfId="0" applyBorder="1" applyAlignment="1">
      <alignment horizontal="center"/>
    </xf>
    <xf numFmtId="0" fontId="1" fillId="2" borderId="1" xfId="0" applyFont="1" applyFill="1" applyBorder="1" applyAlignment="1">
      <alignment horizontal="center"/>
    </xf>
    <xf numFmtId="164" fontId="1" fillId="2" borderId="1" xfId="1" applyFont="1" applyFill="1" applyBorder="1" applyAlignment="1">
      <alignment horizontal="center"/>
    </xf>
    <xf numFmtId="164" fontId="0" fillId="0" borderId="1" xfId="1" applyFont="1" applyBorder="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6" fillId="3" borderId="3" xfId="0" applyFont="1" applyFill="1" applyBorder="1" applyAlignment="1">
      <alignment vertical="center"/>
    </xf>
    <xf numFmtId="0" fontId="6" fillId="3" borderId="4" xfId="0" applyFont="1" applyFill="1" applyBorder="1" applyAlignment="1">
      <alignment vertical="center"/>
    </xf>
    <xf numFmtId="0" fontId="0" fillId="3" borderId="0" xfId="0" applyFill="1"/>
    <xf numFmtId="0" fontId="6" fillId="3" borderId="2" xfId="0" applyFont="1" applyFill="1" applyBorder="1" applyAlignment="1">
      <alignment horizontal="center" vertical="center"/>
    </xf>
    <xf numFmtId="0" fontId="6" fillId="3" borderId="3" xfId="0" applyFont="1" applyFill="1" applyBorder="1" applyAlignment="1">
      <alignment horizontal="center" vertical="center"/>
    </xf>
    <xf numFmtId="0" fontId="0" fillId="0" borderId="0" xfId="0" applyNumberFormat="1"/>
  </cellXfs>
  <cellStyles count="2">
    <cellStyle name="Currency" xfId="1" builtinId="4"/>
    <cellStyle name="Normal" xfId="0" builtinId="0"/>
  </cellStyles>
  <dxfs count="0"/>
  <tableStyles count="0" defaultTableStyle="TableStyleMedium9" defaultPivotStyle="PivotStyleLight16"/>
  <colors>
    <mruColors>
      <color rgb="FF9DD8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06/relationships/rdRichValue" Target="richData/rdrichvalue.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2.jpe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3.jpeg"/><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[Advanced_Excel_Project_Dataset.xlsx]Employee_Performance_Data!PivotTable11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Salary by Dept</a:t>
            </a:r>
          </a:p>
        </c:rich>
      </c:tx>
      <c:overlay val="0"/>
      <c:spPr>
        <a:pattFill prst="pct75">
          <a:fgClr>
            <a:schemeClr val="accent1">
              <a:lumMod val="40000"/>
              <a:lumOff val="60000"/>
            </a:schemeClr>
          </a:fgClr>
          <a:bgClr>
            <a:schemeClr val="accent3">
              <a:lumMod val="20000"/>
              <a:lumOff val="80000"/>
            </a:schemeClr>
          </a:bgClr>
        </a:pattFill>
        <a:ln>
          <a:noFill/>
        </a:ln>
        <a:effectLst>
          <a:outerShdw blurRad="50800" dist="50800" dir="5400000" algn="ctr" rotWithShape="0">
            <a:schemeClr val="accent5">
              <a:lumMod val="40000"/>
              <a:lumOff val="60000"/>
            </a:schemeClr>
          </a:outerShdw>
        </a:effectLst>
        <a:scene3d>
          <a:camera prst="orthographicFront"/>
          <a:lightRig rig="threePt" dir="t"/>
        </a:scene3d>
        <a:sp3d>
          <a:bevelT prst="relaxedInset"/>
        </a:sp3d>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Employee_Performance_Data!$P$2</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Employee_Performance_Data!$O$3:$O$9</c:f>
              <c:strCache>
                <c:ptCount val="6"/>
                <c:pt idx="0">
                  <c:v>Data Science</c:v>
                </c:pt>
                <c:pt idx="1">
                  <c:v>Finance</c:v>
                </c:pt>
                <c:pt idx="2">
                  <c:v>HR</c:v>
                </c:pt>
                <c:pt idx="3">
                  <c:v>IT</c:v>
                </c:pt>
                <c:pt idx="4">
                  <c:v>Marketing</c:v>
                </c:pt>
                <c:pt idx="5">
                  <c:v>Operations</c:v>
                </c:pt>
              </c:strCache>
            </c:strRef>
          </c:cat>
          <c:val>
            <c:numRef>
              <c:f>Employee_Performance_Data!$P$3:$P$9</c:f>
              <c:numCache>
                <c:formatCode>_("$"* #,##0.00_);_("$"* \(#,##0.00\);_("$"* "-"??_);_(@_)</c:formatCode>
                <c:ptCount val="6"/>
                <c:pt idx="0">
                  <c:v>1326725</c:v>
                </c:pt>
                <c:pt idx="1">
                  <c:v>1565929</c:v>
                </c:pt>
                <c:pt idx="2">
                  <c:v>1621250</c:v>
                </c:pt>
                <c:pt idx="3">
                  <c:v>816023</c:v>
                </c:pt>
                <c:pt idx="4">
                  <c:v>1191033</c:v>
                </c:pt>
                <c:pt idx="5">
                  <c:v>850322</c:v>
                </c:pt>
              </c:numCache>
            </c:numRef>
          </c:val>
          <c:extLst>
            <c:ext xmlns:c16="http://schemas.microsoft.com/office/drawing/2014/chart" uri="{C3380CC4-5D6E-409C-BE32-E72D297353CC}">
              <c16:uniqueId val="{00000000-9E29-444E-8840-344C65C411FC}"/>
            </c:ext>
          </c:extLst>
        </c:ser>
        <c:dLbls>
          <c:showLegendKey val="0"/>
          <c:showVal val="1"/>
          <c:showCatName val="0"/>
          <c:showSerName val="0"/>
          <c:showPercent val="0"/>
          <c:showBubbleSize val="0"/>
        </c:dLbls>
        <c:gapWidth val="150"/>
        <c:shape val="box"/>
        <c:axId val="846896495"/>
        <c:axId val="113541007"/>
        <c:axId val="0"/>
      </c:bar3DChart>
      <c:catAx>
        <c:axId val="846896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41007"/>
        <c:crosses val="autoZero"/>
        <c:auto val="1"/>
        <c:lblAlgn val="ctr"/>
        <c:lblOffset val="100"/>
        <c:noMultiLvlLbl val="0"/>
      </c:catAx>
      <c:valAx>
        <c:axId val="113541007"/>
        <c:scaling>
          <c:orientation val="minMax"/>
        </c:scaling>
        <c:delete val="0"/>
        <c:axPos val="l"/>
        <c:majorGridlines>
          <c:spPr>
            <a:ln w="9525" cap="flat" cmpd="sng" algn="ctr">
              <a:solidFill>
                <a:schemeClr val="dk1">
                  <a:lumMod val="50000"/>
                  <a:lumOff val="50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89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[Advanced_Excel_Project_Dataset.xlsx]Employee_Performance_Data!PivotTable12</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Total Performance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Employee_Performance_Data!$P$16</c:f>
              <c:strCache>
                <c:ptCount val="1"/>
                <c:pt idx="0">
                  <c:v>Total</c:v>
                </c:pt>
              </c:strCache>
            </c:strRef>
          </c:tx>
          <c:dPt>
            <c:idx val="0"/>
            <c:bubble3D val="0"/>
            <c:spPr>
              <a:gradFill rotWithShape="1">
                <a:gsLst>
                  <a:gs pos="0">
                    <a:schemeClr val="accent4">
                      <a:shade val="58000"/>
                      <a:shade val="51000"/>
                      <a:satMod val="130000"/>
                    </a:schemeClr>
                  </a:gs>
                  <a:gs pos="80000">
                    <a:schemeClr val="accent4">
                      <a:shade val="58000"/>
                      <a:shade val="93000"/>
                      <a:satMod val="130000"/>
                    </a:schemeClr>
                  </a:gs>
                  <a:gs pos="100000">
                    <a:schemeClr val="accent4">
                      <a:shade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B468-4C8E-A952-794D91F5EB8D}"/>
              </c:ext>
            </c:extLst>
          </c:dPt>
          <c:dPt>
            <c:idx val="1"/>
            <c:bubble3D val="0"/>
            <c:spPr>
              <a:gradFill rotWithShape="1">
                <a:gsLst>
                  <a:gs pos="0">
                    <a:schemeClr val="accent4">
                      <a:shade val="86000"/>
                      <a:shade val="51000"/>
                      <a:satMod val="130000"/>
                    </a:schemeClr>
                  </a:gs>
                  <a:gs pos="80000">
                    <a:schemeClr val="accent4">
                      <a:shade val="86000"/>
                      <a:shade val="93000"/>
                      <a:satMod val="130000"/>
                    </a:schemeClr>
                  </a:gs>
                  <a:gs pos="100000">
                    <a:schemeClr val="accent4">
                      <a:shade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B468-4C8E-A952-794D91F5EB8D}"/>
              </c:ext>
            </c:extLst>
          </c:dPt>
          <c:dPt>
            <c:idx val="2"/>
            <c:bubble3D val="0"/>
            <c:spPr>
              <a:gradFill rotWithShape="1">
                <a:gsLst>
                  <a:gs pos="0">
                    <a:schemeClr val="accent4">
                      <a:tint val="86000"/>
                      <a:shade val="51000"/>
                      <a:satMod val="130000"/>
                    </a:schemeClr>
                  </a:gs>
                  <a:gs pos="80000">
                    <a:schemeClr val="accent4">
                      <a:tint val="86000"/>
                      <a:shade val="93000"/>
                      <a:satMod val="130000"/>
                    </a:schemeClr>
                  </a:gs>
                  <a:gs pos="100000">
                    <a:schemeClr val="accent4">
                      <a:tint val="86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B468-4C8E-A952-794D91F5EB8D}"/>
              </c:ext>
            </c:extLst>
          </c:dPt>
          <c:dPt>
            <c:idx val="3"/>
            <c:bubble3D val="0"/>
            <c:spPr>
              <a:gradFill rotWithShape="1">
                <a:gsLst>
                  <a:gs pos="0">
                    <a:schemeClr val="accent4">
                      <a:tint val="58000"/>
                      <a:shade val="51000"/>
                      <a:satMod val="130000"/>
                    </a:schemeClr>
                  </a:gs>
                  <a:gs pos="80000">
                    <a:schemeClr val="accent4">
                      <a:tint val="58000"/>
                      <a:shade val="93000"/>
                      <a:satMod val="130000"/>
                    </a:schemeClr>
                  </a:gs>
                  <a:gs pos="100000">
                    <a:schemeClr val="accent4">
                      <a:tint val="58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B468-4C8E-A952-794D91F5EB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Employee_Performance_Data!$O$17:$O$21</c:f>
              <c:strCache>
                <c:ptCount val="4"/>
                <c:pt idx="0">
                  <c:v>East</c:v>
                </c:pt>
                <c:pt idx="1">
                  <c:v>North</c:v>
                </c:pt>
                <c:pt idx="2">
                  <c:v>South</c:v>
                </c:pt>
                <c:pt idx="3">
                  <c:v>West</c:v>
                </c:pt>
              </c:strCache>
            </c:strRef>
          </c:cat>
          <c:val>
            <c:numRef>
              <c:f>Employee_Performance_Data!$P$17:$P$21</c:f>
              <c:numCache>
                <c:formatCode>General</c:formatCode>
                <c:ptCount val="4"/>
                <c:pt idx="0">
                  <c:v>2584.4</c:v>
                </c:pt>
                <c:pt idx="1">
                  <c:v>1897.58</c:v>
                </c:pt>
                <c:pt idx="2">
                  <c:v>1565.2099999999998</c:v>
                </c:pt>
                <c:pt idx="3">
                  <c:v>1998.9300000000003</c:v>
                </c:pt>
              </c:numCache>
            </c:numRef>
          </c:val>
          <c:extLst>
            <c:ext xmlns:c16="http://schemas.microsoft.com/office/drawing/2014/chart" uri="{C3380CC4-5D6E-409C-BE32-E72D297353CC}">
              <c16:uniqueId val="{00000000-5902-4A10-90B2-B3861C16C075}"/>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DD8EB"/>
    </a:solidFill>
    <a:ln w="9525" cap="flat" cmpd="sng" algn="ctr">
      <a:solidFill>
        <a:schemeClr val="tx1">
          <a:lumMod val="15000"/>
          <a:lumOff val="85000"/>
        </a:schemeClr>
      </a:solidFill>
      <a:round/>
    </a:ln>
    <a:effectLst/>
    <a:scene3d>
      <a:camera prst="orthographicFront"/>
      <a:lightRig rig="threePt" dir="t"/>
    </a:scene3d>
    <a:sp3d>
      <a:bevelT w="152400" h="50800" prst="softRound"/>
    </a:sp3d>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[Advanced_Excel_Project_Dataset.xlsx]Employee_Performance_Data!PivotTable13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Bonus by Department</a:t>
            </a:r>
          </a:p>
        </c:rich>
      </c:tx>
      <c:overlay val="0"/>
      <c:spPr>
        <a:pattFill prst="openDmnd">
          <a:fgClr>
            <a:schemeClr val="accent3">
              <a:lumMod val="60000"/>
              <a:lumOff val="40000"/>
            </a:schemeClr>
          </a:fgClr>
          <a:bgClr>
            <a:schemeClr val="bg1"/>
          </a:bgClr>
        </a:patt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Employee_Performance_Data!$P$30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Employee_Performance_Data!$O$31:$O$37</c:f>
              <c:strCache>
                <c:ptCount val="6"/>
                <c:pt idx="0">
                  <c:v>Data Science</c:v>
                </c:pt>
                <c:pt idx="1">
                  <c:v>Finance</c:v>
                </c:pt>
                <c:pt idx="2">
                  <c:v>HR</c:v>
                </c:pt>
                <c:pt idx="3">
                  <c:v>IT</c:v>
                </c:pt>
                <c:pt idx="4">
                  <c:v>Marketing</c:v>
                </c:pt>
                <c:pt idx="5">
                  <c:v>Operations</c:v>
                </c:pt>
              </c:strCache>
            </c:strRef>
          </c:cat>
          <c:val>
            <c:numRef>
              <c:f>Employee_Performance_Data!$P$31:$P$37</c:f>
              <c:numCache>
                <c:formatCode>General</c:formatCode>
                <c:ptCount val="6"/>
                <c:pt idx="0">
                  <c:v>649718</c:v>
                </c:pt>
                <c:pt idx="1">
                  <c:v>507666</c:v>
                </c:pt>
                <c:pt idx="2">
                  <c:v>548014</c:v>
                </c:pt>
                <c:pt idx="3">
                  <c:v>258453</c:v>
                </c:pt>
                <c:pt idx="4">
                  <c:v>382361</c:v>
                </c:pt>
                <c:pt idx="5">
                  <c:v>343446</c:v>
                </c:pt>
              </c:numCache>
            </c:numRef>
          </c:val>
          <c:extLst>
            <c:ext xmlns:c16="http://schemas.microsoft.com/office/drawing/2014/chart" uri="{C3380CC4-5D6E-409C-BE32-E72D297353CC}">
              <c16:uniqueId val="{00000000-1D19-4F2F-9524-F92D5ACBC1E7}"/>
            </c:ext>
          </c:extLst>
        </c:ser>
        <c:dLbls>
          <c:showLegendKey val="0"/>
          <c:showVal val="1"/>
          <c:showCatName val="0"/>
          <c:showSerName val="0"/>
          <c:showPercent val="0"/>
          <c:showBubbleSize val="0"/>
        </c:dLbls>
        <c:gapWidth val="65"/>
        <c:shape val="box"/>
        <c:axId val="726626415"/>
        <c:axId val="113580847"/>
        <c:axId val="0"/>
      </c:bar3DChart>
      <c:catAx>
        <c:axId val="7266264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580847"/>
        <c:crosses val="autoZero"/>
        <c:auto val="1"/>
        <c:lblAlgn val="ctr"/>
        <c:lblOffset val="100"/>
        <c:noMultiLvlLbl val="0"/>
      </c:catAx>
      <c:valAx>
        <c:axId val="1135808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26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[Advanced_Excel_Project_Dataset.xlsx]Employee_Performance_Data!PivotTable14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Performance Score by Names</a:t>
            </a:r>
          </a:p>
        </c:rich>
      </c:tx>
      <c:overlay val="0"/>
      <c:spPr>
        <a:pattFill prst="pct70">
          <a:fgClr>
            <a:schemeClr val="accent4">
              <a:lumMod val="60000"/>
              <a:lumOff val="40000"/>
            </a:schemeClr>
          </a:fgClr>
          <a:bgClr>
            <a:schemeClr val="accent1">
              <a:lumMod val="60000"/>
              <a:lumOff val="40000"/>
            </a:schemeClr>
          </a:bgClr>
        </a:patt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threePt" dir="t"/>
        </a:scene3d>
        <a:sp3d>
          <a:bevelB prst="relaxedInset"/>
        </a:sp3d>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Employee_Performance_Data!$P$45</c:f>
              <c:strCache>
                <c:ptCount val="1"/>
                <c:pt idx="0">
                  <c:v>Total</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Employee_Performance_Data!$O$46:$O$51</c:f>
              <c:strCache>
                <c:ptCount val="5"/>
                <c:pt idx="0">
                  <c:v>Ajay</c:v>
                </c:pt>
                <c:pt idx="1">
                  <c:v>Divya</c:v>
                </c:pt>
                <c:pt idx="2">
                  <c:v>Sanjay</c:v>
                </c:pt>
                <c:pt idx="3">
                  <c:v>Sneha</c:v>
                </c:pt>
                <c:pt idx="4">
                  <c:v>Varun</c:v>
                </c:pt>
              </c:strCache>
            </c:strRef>
          </c:cat>
          <c:val>
            <c:numRef>
              <c:f>Employee_Performance_Data!$P$46:$P$51</c:f>
              <c:numCache>
                <c:formatCode>General</c:formatCode>
                <c:ptCount val="5"/>
                <c:pt idx="0">
                  <c:v>945.58999999999992</c:v>
                </c:pt>
                <c:pt idx="1">
                  <c:v>510.13</c:v>
                </c:pt>
                <c:pt idx="2">
                  <c:v>524.18999999999994</c:v>
                </c:pt>
                <c:pt idx="3">
                  <c:v>612.64</c:v>
                </c:pt>
                <c:pt idx="4">
                  <c:v>558.79999999999995</c:v>
                </c:pt>
              </c:numCache>
            </c:numRef>
          </c:val>
          <c:extLst>
            <c:ext xmlns:c16="http://schemas.microsoft.com/office/drawing/2014/chart" uri="{C3380CC4-5D6E-409C-BE32-E72D297353CC}">
              <c16:uniqueId val="{00000000-559E-4579-B779-B646DDE94079}"/>
            </c:ext>
          </c:extLst>
        </c:ser>
        <c:dLbls>
          <c:showLegendKey val="0"/>
          <c:showVal val="1"/>
          <c:showCatName val="0"/>
          <c:showSerName val="0"/>
          <c:showPercent val="0"/>
          <c:showBubbleSize val="0"/>
        </c:dLbls>
        <c:axId val="716256815"/>
        <c:axId val="113569807"/>
        <c:axId val="827061247"/>
      </c:area3DChart>
      <c:catAx>
        <c:axId val="716256815"/>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69807"/>
        <c:crosses val="autoZero"/>
        <c:auto val="1"/>
        <c:lblAlgn val="ctr"/>
        <c:lblOffset val="100"/>
        <c:noMultiLvlLbl val="0"/>
      </c:catAx>
      <c:valAx>
        <c:axId val="11356980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16256815"/>
        <c:crosses val="autoZero"/>
        <c:crossBetween val="midCat"/>
      </c:valAx>
      <c:serAx>
        <c:axId val="82706124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569807"/>
        <c:crosses val="autoZero"/>
      </c:ser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[Advanced_Excel_Project_Dataset.xlsx]Employee_Performance_Data!PivotTable15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a:t>
            </a:r>
            <a:r>
              <a:rPr lang="en-US" baseline="0"/>
              <a:t> projects by Work Mode</a:t>
            </a:r>
            <a:endParaRPr lang="en-US"/>
          </a:p>
        </c:rich>
      </c:tx>
      <c:overlay val="0"/>
      <c:spPr>
        <a:blipFill>
          <a:blip xmlns:r="http://schemas.openxmlformats.org/officeDocument/2006/relationships" r:embed="rId3"/>
          <a:tile tx="0" ty="0" sx="100000" sy="100000" flip="none" algn="tl"/>
        </a:blipFill>
        <a:ln>
          <a:solidFill>
            <a:schemeClr val="accent1"/>
          </a:solidFill>
        </a:ln>
        <a:effectLst>
          <a:glow rad="101600">
            <a:schemeClr val="accent4">
              <a:satMod val="175000"/>
              <a:alpha val="37000"/>
            </a:schemeClr>
          </a:glow>
          <a:innerShdw blurRad="63500" dist="50800" dir="13500000">
            <a:prstClr val="black">
              <a:alpha val="50000"/>
            </a:prstClr>
          </a:innerShdw>
        </a:effectLst>
        <a:scene3d>
          <a:camera prst="orthographicFront"/>
          <a:lightRig rig="threePt" dir="t"/>
        </a:scene3d>
        <a:sp3d prstMaterial="dkEdge">
          <a:bevelT w="101600" prst="riblet"/>
        </a:sp3d>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tint val="65000"/>
            </a:schemeClr>
          </a:solidFill>
          <a:ln>
            <a:noFill/>
          </a:ln>
          <a:effectLst>
            <a:outerShdw blurRad="254000" sx="102000" sy="102000" algn="ctr" rotWithShape="0">
              <a:prstClr val="black">
                <a:alpha val="20000"/>
              </a:prstClr>
            </a:outerShdw>
          </a:effectLst>
        </c:spPr>
      </c:pivotFmt>
      <c:pivotFmt>
        <c:idx val="2"/>
        <c:spPr>
          <a:solidFill>
            <a:schemeClr val="accent6"/>
          </a:solidFill>
          <a:ln>
            <a:noFill/>
          </a:ln>
          <a:effectLst>
            <a:outerShdw blurRad="254000" sx="102000" sy="102000" algn="ctr" rotWithShape="0">
              <a:prstClr val="black">
                <a:alpha val="20000"/>
              </a:prstClr>
            </a:outerShdw>
          </a:effectLst>
        </c:spPr>
      </c:pivotFmt>
      <c:pivotFmt>
        <c:idx val="3"/>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Employee_Performance_Data!$P$69</c:f>
              <c:strCache>
                <c:ptCount val="1"/>
                <c:pt idx="0">
                  <c:v>Total</c:v>
                </c:pt>
              </c:strCache>
            </c:strRef>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225-480C-B15D-375E6EFA614F}"/>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225-480C-B15D-375E6EFA614F}"/>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225-480C-B15D-375E6EFA61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Employee_Performance_Data!$O$70:$O$73</c:f>
              <c:strCache>
                <c:ptCount val="3"/>
                <c:pt idx="0">
                  <c:v>Hybrid</c:v>
                </c:pt>
                <c:pt idx="1">
                  <c:v>Office</c:v>
                </c:pt>
                <c:pt idx="2">
                  <c:v>Remote</c:v>
                </c:pt>
              </c:strCache>
            </c:strRef>
          </c:cat>
          <c:val>
            <c:numRef>
              <c:f>Employee_Performance_Data!$P$70:$P$73</c:f>
              <c:numCache>
                <c:formatCode>General</c:formatCode>
                <c:ptCount val="3"/>
                <c:pt idx="0">
                  <c:v>481</c:v>
                </c:pt>
                <c:pt idx="1">
                  <c:v>511</c:v>
                </c:pt>
                <c:pt idx="2">
                  <c:v>322</c:v>
                </c:pt>
              </c:numCache>
            </c:numRef>
          </c:val>
          <c:extLst>
            <c:ext xmlns:c16="http://schemas.microsoft.com/office/drawing/2014/chart" uri="{C3380CC4-5D6E-409C-BE32-E72D297353CC}">
              <c16:uniqueId val="{00000000-49AB-4391-90AA-4D1950183C2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accent1">
          <a:lumMod val="75000"/>
        </a:schemeClr>
      </a:solidFill>
      <a:round/>
    </a:ln>
    <a:effectLst>
      <a:glow rad="101600">
        <a:schemeClr val="accent4">
          <a:satMod val="175000"/>
          <a:alpha val="40000"/>
        </a:schemeClr>
      </a:glow>
      <a:outerShdw blurRad="50800" dist="38100" dir="5400000" algn="t" rotWithShape="0">
        <a:prstClr val="black">
          <a:alpha val="40000"/>
        </a:prstClr>
      </a:outerShdw>
    </a:effectLst>
    <a:scene3d>
      <a:camera prst="orthographicFront"/>
      <a:lightRig rig="threePt" dir="t"/>
    </a:scene3d>
    <a:sp3d>
      <a:bevelT prst="relaxedInse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[Advanced_Excel_Project_Dataset.xlsx]Employee_Performance_Data!PivotTable16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glow rad="127000">
                    <a:srgbClr val="0070C0"/>
                  </a:glow>
                </a:effectLst>
                <a:latin typeface="+mn-lt"/>
                <a:ea typeface="+mn-ea"/>
                <a:cs typeface="+mn-cs"/>
              </a:defRPr>
            </a:pPr>
            <a:r>
              <a:rPr lang="en-US"/>
              <a:t>Max training Hour by Work Mode</a:t>
            </a:r>
          </a:p>
        </c:rich>
      </c:tx>
      <c:overlay val="0"/>
      <c:spPr>
        <a:blipFill>
          <a:blip xmlns:r="http://schemas.openxmlformats.org/officeDocument/2006/relationships" r:embed="rId3"/>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glow rad="228600">
            <a:schemeClr val="accent4">
              <a:satMod val="175000"/>
              <a:alpha val="40000"/>
            </a:schemeClr>
          </a:glow>
          <a:softEdge rad="12700"/>
        </a:effectLst>
        <a:scene3d>
          <a:camera prst="orthographicFront"/>
          <a:lightRig rig="threePt" dir="t"/>
        </a:scene3d>
        <a:sp3d>
          <a:bevelT prst="slope"/>
        </a:sp3d>
      </c:spPr>
      <c:txPr>
        <a:bodyPr rot="0" spcFirstLastPara="1" vertOverflow="ellipsis" vert="horz" wrap="square" anchor="ctr" anchorCtr="1"/>
        <a:lstStyle/>
        <a:p>
          <a:pPr>
            <a:defRPr sz="1600" b="1" i="0" u="none" strike="noStrike" kern="1200" spc="100" baseline="0">
              <a:solidFill>
                <a:schemeClr val="lt1">
                  <a:lumMod val="95000"/>
                </a:schemeClr>
              </a:solidFill>
              <a:effectLst>
                <a:glow rad="127000">
                  <a:srgbClr val="0070C0"/>
                </a:glow>
              </a:effectLst>
              <a:latin typeface="+mn-lt"/>
              <a:ea typeface="+mn-ea"/>
              <a:cs typeface="+mn-cs"/>
            </a:defRPr>
          </a:pPr>
          <a:endParaRPr lang="en-US"/>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127000">
                      <a:srgbClr val="0070C0"/>
                    </a:glo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dk1">
              <a:lumMod val="50000"/>
              <a:lumOff val="50000"/>
            </a:schemeClr>
          </a:solidFill>
          <a:round/>
        </a:ln>
        <a:effectLst/>
        <a:sp3d contourW="9525">
          <a:contourClr>
            <a:schemeClr val="dk1">
              <a:lumMod val="50000"/>
              <a:lumOff val="50000"/>
            </a:schemeClr>
          </a:contourClr>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Employee_Performance_Data!$P$81</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effectLst>
                      <a:glow rad="127000">
                        <a:srgbClr val="0070C0"/>
                      </a:glo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Employee_Performance_Data!$O$82:$O$85</c:f>
              <c:strCache>
                <c:ptCount val="3"/>
                <c:pt idx="0">
                  <c:v>Hybrid</c:v>
                </c:pt>
                <c:pt idx="1">
                  <c:v>Office</c:v>
                </c:pt>
                <c:pt idx="2">
                  <c:v>Remote</c:v>
                </c:pt>
              </c:strCache>
            </c:strRef>
          </c:cat>
          <c:val>
            <c:numRef>
              <c:f>Employee_Performance_Data!$P$82:$P$85</c:f>
              <c:numCache>
                <c:formatCode>General</c:formatCode>
                <c:ptCount val="3"/>
                <c:pt idx="0">
                  <c:v>80</c:v>
                </c:pt>
                <c:pt idx="1">
                  <c:v>79</c:v>
                </c:pt>
                <c:pt idx="2">
                  <c:v>80</c:v>
                </c:pt>
              </c:numCache>
            </c:numRef>
          </c:val>
          <c:extLst>
            <c:ext xmlns:c16="http://schemas.microsoft.com/office/drawing/2014/chart" uri="{C3380CC4-5D6E-409C-BE32-E72D297353CC}">
              <c16:uniqueId val="{00000000-B38E-43CC-950B-F2C87AE3D4F4}"/>
            </c:ext>
          </c:extLst>
        </c:ser>
        <c:dLbls>
          <c:showLegendKey val="0"/>
          <c:showVal val="1"/>
          <c:showCatName val="0"/>
          <c:showSerName val="0"/>
          <c:showPercent val="0"/>
          <c:showBubbleSize val="0"/>
        </c:dLbls>
        <c:axId val="921964143"/>
        <c:axId val="113548207"/>
        <c:axId val="0"/>
      </c:area3DChart>
      <c:catAx>
        <c:axId val="921964143"/>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127000">
                    <a:srgbClr val="0070C0"/>
                  </a:glow>
                </a:effectLst>
                <a:latin typeface="+mn-lt"/>
                <a:ea typeface="+mn-ea"/>
                <a:cs typeface="+mn-cs"/>
              </a:defRPr>
            </a:pPr>
            <a:endParaRPr lang="en-US"/>
          </a:p>
        </c:txPr>
        <c:crossAx val="113548207"/>
        <c:crosses val="autoZero"/>
        <c:auto val="1"/>
        <c:lblAlgn val="ctr"/>
        <c:lblOffset val="100"/>
        <c:noMultiLvlLbl val="0"/>
      </c:catAx>
      <c:valAx>
        <c:axId val="113548207"/>
        <c:scaling>
          <c:orientation val="minMax"/>
        </c:scaling>
        <c:delete val="0"/>
        <c:axPos val="l"/>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effectLst>
                  <a:glow rad="127000">
                    <a:srgbClr val="0070C0"/>
                  </a:glow>
                </a:effectLst>
                <a:latin typeface="+mn-lt"/>
                <a:ea typeface="+mn-ea"/>
                <a:cs typeface="+mn-cs"/>
              </a:defRPr>
            </a:pPr>
            <a:endParaRPr lang="en-US"/>
          </a:p>
        </c:txPr>
        <c:crossAx val="921964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effectLst>
            <a:glow rad="127000">
              <a:srgbClr val="0070C0"/>
            </a:glo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[Advanced_Excel_Project_Dataset.xlsx]Employee_Performance_Data!PivotTable11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Salary by Dept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Employee_Performance_Data!$P$2</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Employee_Performance_Data!$O$3:$O$9</c:f>
              <c:strCache>
                <c:ptCount val="6"/>
                <c:pt idx="0">
                  <c:v>Data Science</c:v>
                </c:pt>
                <c:pt idx="1">
                  <c:v>Finance</c:v>
                </c:pt>
                <c:pt idx="2">
                  <c:v>HR</c:v>
                </c:pt>
                <c:pt idx="3">
                  <c:v>IT</c:v>
                </c:pt>
                <c:pt idx="4">
                  <c:v>Marketing</c:v>
                </c:pt>
                <c:pt idx="5">
                  <c:v>Operations</c:v>
                </c:pt>
              </c:strCache>
            </c:strRef>
          </c:cat>
          <c:val>
            <c:numRef>
              <c:f>Employee_Performance_Data!$P$3:$P$9</c:f>
              <c:numCache>
                <c:formatCode>_("$"* #,##0.00_);_("$"* \(#,##0.00\);_("$"* "-"??_);_(@_)</c:formatCode>
                <c:ptCount val="6"/>
                <c:pt idx="0">
                  <c:v>1326725</c:v>
                </c:pt>
                <c:pt idx="1">
                  <c:v>1565929</c:v>
                </c:pt>
                <c:pt idx="2">
                  <c:v>1621250</c:v>
                </c:pt>
                <c:pt idx="3">
                  <c:v>816023</c:v>
                </c:pt>
                <c:pt idx="4">
                  <c:v>1191033</c:v>
                </c:pt>
                <c:pt idx="5">
                  <c:v>850322</c:v>
                </c:pt>
              </c:numCache>
            </c:numRef>
          </c:val>
          <c:extLst>
            <c:ext xmlns:c16="http://schemas.microsoft.com/office/drawing/2014/chart" uri="{C3380CC4-5D6E-409C-BE32-E72D297353CC}">
              <c16:uniqueId val="{00000000-40A9-4490-92C0-E2965EC197F9}"/>
            </c:ext>
          </c:extLst>
        </c:ser>
        <c:dLbls>
          <c:showLegendKey val="0"/>
          <c:showVal val="1"/>
          <c:showCatName val="0"/>
          <c:showSerName val="0"/>
          <c:showPercent val="0"/>
          <c:showBubbleSize val="0"/>
        </c:dLbls>
        <c:gapWidth val="65"/>
        <c:shape val="box"/>
        <c:axId val="846896495"/>
        <c:axId val="113541007"/>
        <c:axId val="0"/>
      </c:bar3DChart>
      <c:catAx>
        <c:axId val="8468964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541007"/>
        <c:crosses val="autoZero"/>
        <c:auto val="1"/>
        <c:lblAlgn val="ctr"/>
        <c:lblOffset val="100"/>
        <c:noMultiLvlLbl val="0"/>
      </c:catAx>
      <c:valAx>
        <c:axId val="113541007"/>
        <c:scaling>
          <c:orientation val="minMax"/>
        </c:scaling>
        <c:delete val="0"/>
        <c:axPos val="l"/>
        <c:majorGridlines>
          <c:spPr>
            <a:ln w="9525" cap="flat" cmpd="sng" algn="ctr">
              <a:solidFill>
                <a:schemeClr val="dk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4689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[Advanced_Excel_Project_Dataset.xlsx]Employee_Performance_Data!PivotTable12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Performance by Region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5"/>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5">
              <a:shade val="58000"/>
            </a:schemeClr>
          </a:solidFill>
          <a:ln>
            <a:noFill/>
          </a:ln>
          <a:effectLst>
            <a:outerShdw blurRad="254000" sx="102000" sy="102000" algn="ctr" rotWithShape="0">
              <a:prstClr val="black">
                <a:alpha val="20000"/>
              </a:prstClr>
            </a:outerShdw>
          </a:effectLst>
        </c:spPr>
        <c:dLbl>
          <c:idx val="0"/>
          <c:layout>
            <c:manualLayout>
              <c:x val="4.1237113402061792E-2"/>
              <c:y val="-0.107913669064748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5">
              <a:shade val="86000"/>
            </a:schemeClr>
          </a:solidFill>
          <a:ln>
            <a:noFill/>
          </a:ln>
          <a:effectLst>
            <a:outerShdw blurRad="254000" sx="102000" sy="102000" algn="ctr" rotWithShape="0">
              <a:prstClr val="black">
                <a:alpha val="20000"/>
              </a:prstClr>
            </a:outerShdw>
          </a:effectLst>
        </c:spPr>
        <c:dLbl>
          <c:idx val="0"/>
          <c:layout>
            <c:manualLayout>
              <c:x val="6.5292096219931206E-2"/>
              <c:y val="-1.7985611510791366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5">
              <a:tint val="86000"/>
            </a:schemeClr>
          </a:solidFill>
          <a:ln>
            <a:noFill/>
          </a:ln>
          <a:effectLst>
            <a:outerShdw blurRad="254000" sx="102000" sy="102000" algn="ctr" rotWithShape="0">
              <a:prstClr val="black">
                <a:alpha val="20000"/>
              </a:prstClr>
            </a:outerShdw>
          </a:effectLst>
        </c:spPr>
        <c:dLbl>
          <c:idx val="0"/>
          <c:layout>
            <c:manualLayout>
              <c:x val="-6.1855670103092786E-2"/>
              <c:y val="5.9952038369304557E-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5">
              <a:tint val="58000"/>
            </a:schemeClr>
          </a:solidFill>
          <a:ln>
            <a:noFill/>
          </a:ln>
          <a:effectLst>
            <a:outerShdw blurRad="254000" sx="102000" sy="102000" algn="ctr" rotWithShape="0">
              <a:prstClr val="black">
                <a:alpha val="20000"/>
              </a:prstClr>
            </a:outerShdw>
          </a:effectLst>
        </c:spPr>
        <c:dLbl>
          <c:idx val="0"/>
          <c:layout>
            <c:manualLayout>
              <c:x val="-4.8109965635738834E-2"/>
              <c:y val="-6.5947242206235018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doughnutChart>
        <c:varyColors val="1"/>
        <c:ser>
          <c:idx val="0"/>
          <c:order val="0"/>
          <c:tx>
            <c:strRef>
              <c:f>Employee_Performance_Data!$P$16</c:f>
              <c:strCache>
                <c:ptCount val="1"/>
                <c:pt idx="0">
                  <c:v>Total</c:v>
                </c:pt>
              </c:strCache>
            </c:strRef>
          </c:tx>
          <c:dPt>
            <c:idx val="0"/>
            <c:bubble3D val="0"/>
            <c:spPr>
              <a:solidFill>
                <a:schemeClr val="accent5">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AC-4F4D-A53D-5F746A7F4B7C}"/>
              </c:ext>
            </c:extLst>
          </c:dPt>
          <c:dPt>
            <c:idx val="1"/>
            <c:bubble3D val="0"/>
            <c:spPr>
              <a:solidFill>
                <a:schemeClr val="accent5">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AC-4F4D-A53D-5F746A7F4B7C}"/>
              </c:ext>
            </c:extLst>
          </c:dPt>
          <c:dPt>
            <c:idx val="2"/>
            <c:bubble3D val="0"/>
            <c:spPr>
              <a:solidFill>
                <a:schemeClr val="accent5">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3AC-4F4D-A53D-5F746A7F4B7C}"/>
              </c:ext>
            </c:extLst>
          </c:dPt>
          <c:dPt>
            <c:idx val="3"/>
            <c:bubble3D val="0"/>
            <c:spPr>
              <a:solidFill>
                <a:schemeClr val="accent5">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33AC-4F4D-A53D-5F746A7F4B7C}"/>
              </c:ext>
            </c:extLst>
          </c:dPt>
          <c:dLbls>
            <c:dLbl>
              <c:idx val="0"/>
              <c:layout>
                <c:manualLayout>
                  <c:x val="4.1237113402061792E-2"/>
                  <c:y val="-0.1079136690647482"/>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33AC-4F4D-A53D-5F746A7F4B7C}"/>
                </c:ext>
              </c:extLst>
            </c:dLbl>
            <c:dLbl>
              <c:idx val="1"/>
              <c:layout>
                <c:manualLayout>
                  <c:x val="6.5292096219931206E-2"/>
                  <c:y val="-1.7985611510791366E-2"/>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33AC-4F4D-A53D-5F746A7F4B7C}"/>
                </c:ext>
              </c:extLst>
            </c:dLbl>
            <c:dLbl>
              <c:idx val="2"/>
              <c:layout>
                <c:manualLayout>
                  <c:x val="-6.1855670103092786E-2"/>
                  <c:y val="5.9952038369304557E-3"/>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33AC-4F4D-A53D-5F746A7F4B7C}"/>
                </c:ext>
              </c:extLst>
            </c:dLbl>
            <c:dLbl>
              <c:idx val="3"/>
              <c:layout>
                <c:manualLayout>
                  <c:x val="-4.8109965635738834E-2"/>
                  <c:y val="-6.5947242206235018E-2"/>
                </c:manualLayout>
              </c:layout>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33AC-4F4D-A53D-5F746A7F4B7C}"/>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Employee_Performance_Data!$O$17:$O$21</c:f>
              <c:strCache>
                <c:ptCount val="4"/>
                <c:pt idx="0">
                  <c:v>East</c:v>
                </c:pt>
                <c:pt idx="1">
                  <c:v>North</c:v>
                </c:pt>
                <c:pt idx="2">
                  <c:v>South</c:v>
                </c:pt>
                <c:pt idx="3">
                  <c:v>West</c:v>
                </c:pt>
              </c:strCache>
            </c:strRef>
          </c:cat>
          <c:val>
            <c:numRef>
              <c:f>Employee_Performance_Data!$P$17:$P$21</c:f>
              <c:numCache>
                <c:formatCode>General</c:formatCode>
                <c:ptCount val="4"/>
                <c:pt idx="0">
                  <c:v>2584.4</c:v>
                </c:pt>
                <c:pt idx="1">
                  <c:v>1897.58</c:v>
                </c:pt>
                <c:pt idx="2">
                  <c:v>1565.2099999999998</c:v>
                </c:pt>
                <c:pt idx="3">
                  <c:v>1998.9300000000003</c:v>
                </c:pt>
              </c:numCache>
            </c:numRef>
          </c:val>
          <c:extLst>
            <c:ext xmlns:c16="http://schemas.microsoft.com/office/drawing/2014/chart" uri="{C3380CC4-5D6E-409C-BE32-E72D297353CC}">
              <c16:uniqueId val="{00000008-33AC-4F4D-A53D-5F746A7F4B7C}"/>
            </c:ext>
          </c:extLst>
        </c:ser>
        <c:dLbls>
          <c:showLegendKey val="0"/>
          <c:showVal val="1"/>
          <c:showCatName val="0"/>
          <c:showSerName val="0"/>
          <c:showPercent val="0"/>
          <c:showBubbleSize val="0"/>
          <c:showLeaderLines val="1"/>
        </c:dLbls>
        <c:firstSliceAng val="0"/>
        <c:holeSize val="51"/>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[Advanced_Excel_Project_Dataset.xlsx]Employee_Performance_Data!PivotTable13</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Bonus by Department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Employee_Performance_Data!$P$30</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Employee_Performance_Data!$O$31:$O$37</c:f>
              <c:strCache>
                <c:ptCount val="6"/>
                <c:pt idx="0">
                  <c:v>Data Science</c:v>
                </c:pt>
                <c:pt idx="1">
                  <c:v>Finance</c:v>
                </c:pt>
                <c:pt idx="2">
                  <c:v>HR</c:v>
                </c:pt>
                <c:pt idx="3">
                  <c:v>IT</c:v>
                </c:pt>
                <c:pt idx="4">
                  <c:v>Marketing</c:v>
                </c:pt>
                <c:pt idx="5">
                  <c:v>Operations</c:v>
                </c:pt>
              </c:strCache>
            </c:strRef>
          </c:cat>
          <c:val>
            <c:numRef>
              <c:f>Employee_Performance_Data!$P$31:$P$37</c:f>
              <c:numCache>
                <c:formatCode>General</c:formatCode>
                <c:ptCount val="6"/>
                <c:pt idx="0">
                  <c:v>649718</c:v>
                </c:pt>
                <c:pt idx="1">
                  <c:v>507666</c:v>
                </c:pt>
                <c:pt idx="2">
                  <c:v>548014</c:v>
                </c:pt>
                <c:pt idx="3">
                  <c:v>258453</c:v>
                </c:pt>
                <c:pt idx="4">
                  <c:v>382361</c:v>
                </c:pt>
                <c:pt idx="5">
                  <c:v>343446</c:v>
                </c:pt>
              </c:numCache>
            </c:numRef>
          </c:val>
          <c:extLst>
            <c:ext xmlns:c16="http://schemas.microsoft.com/office/drawing/2014/chart" uri="{C3380CC4-5D6E-409C-BE32-E72D297353CC}">
              <c16:uniqueId val="{00000000-8613-4DA4-BAF8-E64DF16FB28D}"/>
            </c:ext>
          </c:extLst>
        </c:ser>
        <c:dLbls>
          <c:showLegendKey val="0"/>
          <c:showVal val="1"/>
          <c:showCatName val="0"/>
          <c:showSerName val="0"/>
          <c:showPercent val="0"/>
          <c:showBubbleSize val="0"/>
        </c:dLbls>
        <c:gapWidth val="65"/>
        <c:shape val="box"/>
        <c:axId val="726626415"/>
        <c:axId val="113580847"/>
        <c:axId val="0"/>
      </c:bar3DChart>
      <c:catAx>
        <c:axId val="7266264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580847"/>
        <c:crosses val="autoZero"/>
        <c:auto val="1"/>
        <c:lblAlgn val="ctr"/>
        <c:lblOffset val="100"/>
        <c:noMultiLvlLbl val="0"/>
      </c:catAx>
      <c:valAx>
        <c:axId val="11358084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26626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[Advanced_Excel_Project_Dataset.xlsx]Employee_Performance_Data!PivotTable14</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b="1"/>
              <a:t>Performance Score by Names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Employee_Performance_Data!$P$45</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Employee_Performance_Data!$O$46:$O$51</c:f>
              <c:strCache>
                <c:ptCount val="5"/>
                <c:pt idx="0">
                  <c:v>Ajay</c:v>
                </c:pt>
                <c:pt idx="1">
                  <c:v>Divya</c:v>
                </c:pt>
                <c:pt idx="2">
                  <c:v>Sanjay</c:v>
                </c:pt>
                <c:pt idx="3">
                  <c:v>Sneha</c:v>
                </c:pt>
                <c:pt idx="4">
                  <c:v>Varun</c:v>
                </c:pt>
              </c:strCache>
            </c:strRef>
          </c:cat>
          <c:val>
            <c:numRef>
              <c:f>Employee_Performance_Data!$P$46:$P$51</c:f>
              <c:numCache>
                <c:formatCode>General</c:formatCode>
                <c:ptCount val="5"/>
                <c:pt idx="0">
                  <c:v>945.58999999999992</c:v>
                </c:pt>
                <c:pt idx="1">
                  <c:v>510.13</c:v>
                </c:pt>
                <c:pt idx="2">
                  <c:v>524.18999999999994</c:v>
                </c:pt>
                <c:pt idx="3">
                  <c:v>612.64</c:v>
                </c:pt>
                <c:pt idx="4">
                  <c:v>558.79999999999995</c:v>
                </c:pt>
              </c:numCache>
            </c:numRef>
          </c:val>
          <c:extLst>
            <c:ext xmlns:c16="http://schemas.microsoft.com/office/drawing/2014/chart" uri="{C3380CC4-5D6E-409C-BE32-E72D297353CC}">
              <c16:uniqueId val="{00000000-E3A4-4AC7-A9E0-40358BD5FD4E}"/>
            </c:ext>
          </c:extLst>
        </c:ser>
        <c:dLbls>
          <c:showLegendKey val="0"/>
          <c:showVal val="1"/>
          <c:showCatName val="0"/>
          <c:showSerName val="0"/>
          <c:showPercent val="0"/>
          <c:showBubbleSize val="0"/>
        </c:dLbls>
        <c:gapWidth val="65"/>
        <c:shape val="box"/>
        <c:axId val="716256815"/>
        <c:axId val="113569807"/>
        <c:axId val="0"/>
      </c:bar3DChart>
      <c:catAx>
        <c:axId val="716256815"/>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569807"/>
        <c:crosses val="autoZero"/>
        <c:auto val="1"/>
        <c:lblAlgn val="ctr"/>
        <c:lblOffset val="100"/>
        <c:noMultiLvlLbl val="0"/>
      </c:catAx>
      <c:valAx>
        <c:axId val="11356980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1625681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[Advanced_Excel_Project_Dataset.xlsx]Employee_Performance_Data!PivotTable15</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projects by Work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tint val="65000"/>
            </a:schemeClr>
          </a:solidFill>
          <a:ln>
            <a:noFill/>
          </a:ln>
          <a:effectLst>
            <a:outerShdw blurRad="254000" sx="102000" sy="102000" algn="ctr" rotWithShape="0">
              <a:prstClr val="black">
                <a:alpha val="20000"/>
              </a:prstClr>
            </a:outerShdw>
          </a:effectLst>
        </c:spPr>
      </c:pivotFmt>
      <c:pivotFmt>
        <c:idx val="7"/>
        <c:spPr>
          <a:solidFill>
            <a:schemeClr val="accent6"/>
          </a:solidFill>
          <a:ln>
            <a:noFill/>
          </a:ln>
          <a:effectLst>
            <a:outerShdw blurRad="254000" sx="102000" sy="102000" algn="ctr" rotWithShape="0">
              <a:prstClr val="black">
                <a:alpha val="20000"/>
              </a:prstClr>
            </a:outerShdw>
          </a:effectLst>
        </c:spPr>
      </c:pivotFmt>
      <c:pivotFmt>
        <c:idx val="8"/>
        <c:spPr>
          <a:solidFill>
            <a:schemeClr val="accent6">
              <a:shade val="65000"/>
            </a:schemeClr>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Employee_Performance_Data!$P$69</c:f>
              <c:strCache>
                <c:ptCount val="1"/>
                <c:pt idx="0">
                  <c:v>Total</c:v>
                </c:pt>
              </c:strCache>
            </c:strRef>
          </c:tx>
          <c:dPt>
            <c:idx val="0"/>
            <c:bubble3D val="0"/>
            <c:spPr>
              <a:solidFill>
                <a:schemeClr val="accent6">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F92-4811-A4B0-035D5B5A5729}"/>
              </c:ext>
            </c:extLst>
          </c:dPt>
          <c:dPt>
            <c:idx val="1"/>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F92-4811-A4B0-035D5B5A5729}"/>
              </c:ext>
            </c:extLst>
          </c:dPt>
          <c:dPt>
            <c:idx val="2"/>
            <c:bubble3D val="0"/>
            <c:spPr>
              <a:solidFill>
                <a:schemeClr val="accent6">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F92-4811-A4B0-035D5B5A572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Employee_Performance_Data!$O$70:$O$73</c:f>
              <c:strCache>
                <c:ptCount val="3"/>
                <c:pt idx="0">
                  <c:v>Hybrid</c:v>
                </c:pt>
                <c:pt idx="1">
                  <c:v>Office</c:v>
                </c:pt>
                <c:pt idx="2">
                  <c:v>Remote</c:v>
                </c:pt>
              </c:strCache>
            </c:strRef>
          </c:cat>
          <c:val>
            <c:numRef>
              <c:f>Employee_Performance_Data!$P$70:$P$73</c:f>
              <c:numCache>
                <c:formatCode>General</c:formatCode>
                <c:ptCount val="3"/>
                <c:pt idx="0">
                  <c:v>481</c:v>
                </c:pt>
                <c:pt idx="1">
                  <c:v>511</c:v>
                </c:pt>
                <c:pt idx="2">
                  <c:v>322</c:v>
                </c:pt>
              </c:numCache>
            </c:numRef>
          </c:val>
          <c:extLst>
            <c:ext xmlns:c16="http://schemas.microsoft.com/office/drawing/2014/chart" uri="{C3380CC4-5D6E-409C-BE32-E72D297353CC}">
              <c16:uniqueId val="{00000006-FF92-4811-A4B0-035D5B5A5729}"/>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[Advanced_Excel_Project_Dataset.xlsx]Employee_Performance_Data!PivotTable16</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Max training Hour by Work Mode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a:noFill/>
          </a:ln>
          <a:effectLst>
            <a:innerShdw dist="12700" dir="16200000">
              <a:schemeClr val="lt1"/>
            </a:innerShdw>
          </a:effectLst>
          <a:sp3d/>
        </c:spPr>
        <c:marker>
          <c:symbol val="circle"/>
          <c:size val="6"/>
          <c:spPr>
            <a:solidFill>
              <a:schemeClr val="accent5">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area3DChart>
        <c:grouping val="percentStacked"/>
        <c:varyColors val="0"/>
        <c:ser>
          <c:idx val="0"/>
          <c:order val="0"/>
          <c:tx>
            <c:strRef>
              <c:f>Employee_Performance_Data!$P$81</c:f>
              <c:strCache>
                <c:ptCount val="1"/>
                <c:pt idx="0">
                  <c:v>Total</c:v>
                </c:pt>
              </c:strCache>
            </c:strRef>
          </c:tx>
          <c:spPr>
            <a:solidFill>
              <a:schemeClr val="accent5">
                <a:alpha val="85000"/>
              </a:schemeClr>
            </a:solidFill>
            <a:ln>
              <a:noFill/>
            </a:ln>
            <a:effectLst>
              <a:innerShdw dist="12700" dir="16200000">
                <a:schemeClr val="lt1"/>
              </a:innerShdw>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Employee_Performance_Data!$O$82:$O$85</c:f>
              <c:strCache>
                <c:ptCount val="3"/>
                <c:pt idx="0">
                  <c:v>Hybrid</c:v>
                </c:pt>
                <c:pt idx="1">
                  <c:v>Office</c:v>
                </c:pt>
                <c:pt idx="2">
                  <c:v>Remote</c:v>
                </c:pt>
              </c:strCache>
            </c:strRef>
          </c:cat>
          <c:val>
            <c:numRef>
              <c:f>Employee_Performance_Data!$P$82:$P$85</c:f>
              <c:numCache>
                <c:formatCode>General</c:formatCode>
                <c:ptCount val="3"/>
                <c:pt idx="0">
                  <c:v>80</c:v>
                </c:pt>
                <c:pt idx="1">
                  <c:v>79</c:v>
                </c:pt>
                <c:pt idx="2">
                  <c:v>80</c:v>
                </c:pt>
              </c:numCache>
            </c:numRef>
          </c:val>
          <c:extLst>
            <c:ext xmlns:c16="http://schemas.microsoft.com/office/drawing/2014/chart" uri="{C3380CC4-5D6E-409C-BE32-E72D297353CC}">
              <c16:uniqueId val="{00000000-3572-4DAF-B2CC-361B9641628A}"/>
            </c:ext>
          </c:extLst>
        </c:ser>
        <c:dLbls>
          <c:showLegendKey val="0"/>
          <c:showVal val="1"/>
          <c:showCatName val="0"/>
          <c:showSerName val="0"/>
          <c:showPercent val="0"/>
          <c:showBubbleSize val="0"/>
        </c:dLbls>
        <c:axId val="921964143"/>
        <c:axId val="113548207"/>
        <c:axId val="0"/>
      </c:area3DChart>
      <c:catAx>
        <c:axId val="9219641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3548207"/>
        <c:crosses val="autoZero"/>
        <c:auto val="1"/>
        <c:lblAlgn val="ctr"/>
        <c:lblOffset val="100"/>
        <c:noMultiLvlLbl val="0"/>
      </c:catAx>
      <c:valAx>
        <c:axId val="113548207"/>
        <c:scaling>
          <c:orientation val="minMax"/>
        </c:scaling>
        <c:delete val="0"/>
        <c:axPos val="l"/>
        <c:majorGridlines>
          <c:spPr>
            <a:ln w="6350" cap="flat" cmpd="sng" algn="ctr">
              <a:solidFill>
                <a:schemeClr val="dk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92196414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Reversed" id="26">
  <a:schemeClr val="accent6"/>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15">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spPr>
      <a:ln w="9525" cap="flat" cmpd="sng" algn="ctr">
        <a:solidFill>
          <a:schemeClr val="dk1">
            <a:lumMod val="50000"/>
            <a:lumOff val="50000"/>
          </a:schemeClr>
        </a:solidFill>
        <a:round/>
      </a:ln>
    </cs:spPr>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1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w="6350" cap="flat" cmpd="sng" algn="ctr">
        <a:solidFill>
          <a:schemeClr val="dk1">
            <a:lumMod val="15000"/>
            <a:lumOff val="85000"/>
          </a:schemeClr>
        </a:solidFill>
        <a:round/>
      </a:ln>
    </cs:spPr>
  </cs:gridlineMajor>
  <cs:gridlineMinor>
    <cs:lnRef idx="0"/>
    <cs:fillRef idx="0"/>
    <cs:effectRef idx="0"/>
    <cs:fontRef idx="minor">
      <a:schemeClr val="dk1"/>
    </cs:fontRef>
    <cs:spPr>
      <a:ln w="6350"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9.xml"/><Relationship Id="rId7" Type="http://schemas.openxmlformats.org/officeDocument/2006/relationships/image" Target="../media/image4.jpeg"/><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152400</xdr:colOff>
      <xdr:row>0</xdr:row>
      <xdr:rowOff>7620</xdr:rowOff>
    </xdr:from>
    <xdr:to>
      <xdr:col>25</xdr:col>
      <xdr:colOff>213360</xdr:colOff>
      <xdr:row>13</xdr:row>
      <xdr:rowOff>0</xdr:rowOff>
    </xdr:to>
    <xdr:graphicFrame macro="">
      <xdr:nvGraphicFramePr>
        <xdr:cNvPr id="2" name="Chart 1">
          <a:extLst>
            <a:ext uri="{FF2B5EF4-FFF2-40B4-BE49-F238E27FC236}">
              <a16:creationId xmlns:a16="http://schemas.microsoft.com/office/drawing/2014/main" id="{11A530B6-38F2-5163-F362-9C1F4D009B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220980</xdr:colOff>
      <xdr:row>13</xdr:row>
      <xdr:rowOff>15240</xdr:rowOff>
    </xdr:from>
    <xdr:to>
      <xdr:col>23</xdr:col>
      <xdr:colOff>525780</xdr:colOff>
      <xdr:row>27</xdr:row>
      <xdr:rowOff>26670</xdr:rowOff>
    </xdr:to>
    <xdr:graphicFrame macro="">
      <xdr:nvGraphicFramePr>
        <xdr:cNvPr id="3" name="Chart 2">
          <a:extLst>
            <a:ext uri="{FF2B5EF4-FFF2-40B4-BE49-F238E27FC236}">
              <a16:creationId xmlns:a16="http://schemas.microsoft.com/office/drawing/2014/main" id="{643428FB-4E56-C390-850C-8A2B79685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167640</xdr:colOff>
      <xdr:row>27</xdr:row>
      <xdr:rowOff>125730</xdr:rowOff>
    </xdr:from>
    <xdr:to>
      <xdr:col>24</xdr:col>
      <xdr:colOff>320040</xdr:colOff>
      <xdr:row>42</xdr:row>
      <xdr:rowOff>125730</xdr:rowOff>
    </xdr:to>
    <xdr:graphicFrame macro="">
      <xdr:nvGraphicFramePr>
        <xdr:cNvPr id="4" name="Chart 3">
          <a:extLst>
            <a:ext uri="{FF2B5EF4-FFF2-40B4-BE49-F238E27FC236}">
              <a16:creationId xmlns:a16="http://schemas.microsoft.com/office/drawing/2014/main" id="{CEAB4543-ED8B-B30A-388F-A8E376FAF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99060</xdr:colOff>
      <xdr:row>43</xdr:row>
      <xdr:rowOff>72390</xdr:rowOff>
    </xdr:from>
    <xdr:to>
      <xdr:col>24</xdr:col>
      <xdr:colOff>434340</xdr:colOff>
      <xdr:row>62</xdr:row>
      <xdr:rowOff>152400</xdr:rowOff>
    </xdr:to>
    <xdr:graphicFrame macro="">
      <xdr:nvGraphicFramePr>
        <xdr:cNvPr id="5" name="Chart 4">
          <a:extLst>
            <a:ext uri="{FF2B5EF4-FFF2-40B4-BE49-F238E27FC236}">
              <a16:creationId xmlns:a16="http://schemas.microsoft.com/office/drawing/2014/main" id="{DA75175A-2EB6-0031-5453-4B107D044D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15240</xdr:colOff>
      <xdr:row>63</xdr:row>
      <xdr:rowOff>72390</xdr:rowOff>
    </xdr:from>
    <xdr:to>
      <xdr:col>22</xdr:col>
      <xdr:colOff>411480</xdr:colOff>
      <xdr:row>78</xdr:row>
      <xdr:rowOff>72390</xdr:rowOff>
    </xdr:to>
    <xdr:graphicFrame macro="">
      <xdr:nvGraphicFramePr>
        <xdr:cNvPr id="6" name="Chart 5">
          <a:extLst>
            <a:ext uri="{FF2B5EF4-FFF2-40B4-BE49-F238E27FC236}">
              <a16:creationId xmlns:a16="http://schemas.microsoft.com/office/drawing/2014/main" id="{FA715F73-7845-2E73-9A90-CA3600CF00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137160</xdr:colOff>
      <xdr:row>78</xdr:row>
      <xdr:rowOff>87630</xdr:rowOff>
    </xdr:from>
    <xdr:to>
      <xdr:col>22</xdr:col>
      <xdr:colOff>533400</xdr:colOff>
      <xdr:row>93</xdr:row>
      <xdr:rowOff>87630</xdr:rowOff>
    </xdr:to>
    <xdr:graphicFrame macro="">
      <xdr:nvGraphicFramePr>
        <xdr:cNvPr id="7" name="Chart 6">
          <a:extLst>
            <a:ext uri="{FF2B5EF4-FFF2-40B4-BE49-F238E27FC236}">
              <a16:creationId xmlns:a16="http://schemas.microsoft.com/office/drawing/2014/main" id="{421D9B9D-EC49-B472-64E9-289C997B94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7620</xdr:colOff>
      <xdr:row>78</xdr:row>
      <xdr:rowOff>121920</xdr:rowOff>
    </xdr:from>
    <xdr:to>
      <xdr:col>11</xdr:col>
      <xdr:colOff>525780</xdr:colOff>
      <xdr:row>92</xdr:row>
      <xdr:rowOff>28575</xdr:rowOff>
    </xdr:to>
    <mc:AlternateContent xmlns:mc="http://schemas.openxmlformats.org/markup-compatibility/2006" xmlns:a14="http://schemas.microsoft.com/office/drawing/2010/main">
      <mc:Choice Requires="a14">
        <xdr:graphicFrame macro="">
          <xdr:nvGraphicFramePr>
            <xdr:cNvPr id="8" name="Department">
              <a:extLst>
                <a:ext uri="{FF2B5EF4-FFF2-40B4-BE49-F238E27FC236}">
                  <a16:creationId xmlns:a16="http://schemas.microsoft.com/office/drawing/2014/main" id="{F340E5B4-8C1A-8ADA-7CA9-B770B03D9CC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871460" y="14386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129540</xdr:colOff>
      <xdr:row>81</xdr:row>
      <xdr:rowOff>175260</xdr:rowOff>
    </xdr:from>
    <xdr:to>
      <xdr:col>14</xdr:col>
      <xdr:colOff>739140</xdr:colOff>
      <xdr:row>95</xdr:row>
      <xdr:rowOff>81915</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08AC53DC-CAF7-9FEE-788D-C277414DB96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081260" y="14988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609600</xdr:colOff>
      <xdr:row>50</xdr:row>
      <xdr:rowOff>1</xdr:rowOff>
    </xdr:from>
    <xdr:to>
      <xdr:col>14</xdr:col>
      <xdr:colOff>647700</xdr:colOff>
      <xdr:row>54</xdr:row>
      <xdr:rowOff>160020</xdr:rowOff>
    </xdr:to>
    <mc:AlternateContent xmlns:mc="http://schemas.openxmlformats.org/markup-compatibility/2006">
      <mc:Choice xmlns:a14="http://schemas.microsoft.com/office/drawing/2010/main" Requires="a14">
        <xdr:graphicFrame macro="">
          <xdr:nvGraphicFramePr>
            <xdr:cNvPr id="10" name="Name">
              <a:extLst>
                <a:ext uri="{FF2B5EF4-FFF2-40B4-BE49-F238E27FC236}">
                  <a16:creationId xmlns:a16="http://schemas.microsoft.com/office/drawing/2014/main" id="{200EA6F8-3364-6872-B6A3-AF03216A9C6E}"/>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9784080" y="9144001"/>
              <a:ext cx="203454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15240</xdr:rowOff>
    </xdr:from>
    <xdr:to>
      <xdr:col>8</xdr:col>
      <xdr:colOff>243840</xdr:colOff>
      <xdr:row>14</xdr:row>
      <xdr:rowOff>7620</xdr:rowOff>
    </xdr:to>
    <xdr:graphicFrame macro="">
      <xdr:nvGraphicFramePr>
        <xdr:cNvPr id="2" name="Chart 1">
          <a:extLst>
            <a:ext uri="{FF2B5EF4-FFF2-40B4-BE49-F238E27FC236}">
              <a16:creationId xmlns:a16="http://schemas.microsoft.com/office/drawing/2014/main" id="{F4FCA679-E6A6-41A5-ADB0-47D1F357AA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14</xdr:row>
      <xdr:rowOff>15240</xdr:rowOff>
    </xdr:from>
    <xdr:to>
      <xdr:col>12</xdr:col>
      <xdr:colOff>342900</xdr:colOff>
      <xdr:row>25</xdr:row>
      <xdr:rowOff>121920</xdr:rowOff>
    </xdr:to>
    <xdr:graphicFrame macro="">
      <xdr:nvGraphicFramePr>
        <xdr:cNvPr id="3" name="Chart 2">
          <a:extLst>
            <a:ext uri="{FF2B5EF4-FFF2-40B4-BE49-F238E27FC236}">
              <a16:creationId xmlns:a16="http://schemas.microsoft.com/office/drawing/2014/main" id="{8234099B-1996-4AE1-AA4B-B2F8AAB0B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0</xdr:rowOff>
    </xdr:from>
    <xdr:to>
      <xdr:col>6</xdr:col>
      <xdr:colOff>312420</xdr:colOff>
      <xdr:row>25</xdr:row>
      <xdr:rowOff>137160</xdr:rowOff>
    </xdr:to>
    <xdr:graphicFrame macro="">
      <xdr:nvGraphicFramePr>
        <xdr:cNvPr id="4" name="Chart 3">
          <a:extLst>
            <a:ext uri="{FF2B5EF4-FFF2-40B4-BE49-F238E27FC236}">
              <a16:creationId xmlns:a16="http://schemas.microsoft.com/office/drawing/2014/main" id="{ABD830FE-5C91-4A13-8918-155115AAB8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236220</xdr:colOff>
      <xdr:row>1</xdr:row>
      <xdr:rowOff>0</xdr:rowOff>
    </xdr:from>
    <xdr:to>
      <xdr:col>16</xdr:col>
      <xdr:colOff>419100</xdr:colOff>
      <xdr:row>14</xdr:row>
      <xdr:rowOff>7620</xdr:rowOff>
    </xdr:to>
    <xdr:graphicFrame macro="">
      <xdr:nvGraphicFramePr>
        <xdr:cNvPr id="5" name="Chart 4">
          <a:extLst>
            <a:ext uri="{FF2B5EF4-FFF2-40B4-BE49-F238E27FC236}">
              <a16:creationId xmlns:a16="http://schemas.microsoft.com/office/drawing/2014/main" id="{CEA5145B-112B-4757-B514-E7813D6172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434340</xdr:colOff>
      <xdr:row>0</xdr:row>
      <xdr:rowOff>563880</xdr:rowOff>
    </xdr:from>
    <xdr:to>
      <xdr:col>23</xdr:col>
      <xdr:colOff>127000</xdr:colOff>
      <xdr:row>14</xdr:row>
      <xdr:rowOff>30480</xdr:rowOff>
    </xdr:to>
    <xdr:graphicFrame macro="">
      <xdr:nvGraphicFramePr>
        <xdr:cNvPr id="6" name="Chart 5">
          <a:extLst>
            <a:ext uri="{FF2B5EF4-FFF2-40B4-BE49-F238E27FC236}">
              <a16:creationId xmlns:a16="http://schemas.microsoft.com/office/drawing/2014/main" id="{6CC6E2AB-C754-4A68-AD87-0FB168AE5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350520</xdr:colOff>
      <xdr:row>14</xdr:row>
      <xdr:rowOff>7620</xdr:rowOff>
    </xdr:from>
    <xdr:to>
      <xdr:col>19</xdr:col>
      <xdr:colOff>548640</xdr:colOff>
      <xdr:row>25</xdr:row>
      <xdr:rowOff>114300</xdr:rowOff>
    </xdr:to>
    <xdr:graphicFrame macro="">
      <xdr:nvGraphicFramePr>
        <xdr:cNvPr id="7" name="Chart 6">
          <a:extLst>
            <a:ext uri="{FF2B5EF4-FFF2-40B4-BE49-F238E27FC236}">
              <a16:creationId xmlns:a16="http://schemas.microsoft.com/office/drawing/2014/main" id="{0DF42B09-562F-4F76-A329-D96558CC6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551180</xdr:colOff>
      <xdr:row>14</xdr:row>
      <xdr:rowOff>68580</xdr:rowOff>
    </xdr:from>
    <xdr:to>
      <xdr:col>23</xdr:col>
      <xdr:colOff>116840</xdr:colOff>
      <xdr:row>19</xdr:row>
      <xdr:rowOff>83820</xdr:rowOff>
    </xdr:to>
    <mc:AlternateContent xmlns:mc="http://schemas.openxmlformats.org/markup-compatibility/2006">
      <mc:Choice xmlns:a14="http://schemas.microsoft.com/office/drawing/2010/main" Requires="a14">
        <xdr:graphicFrame macro="">
          <xdr:nvGraphicFramePr>
            <xdr:cNvPr id="9" name="Region 1">
              <a:extLst>
                <a:ext uri="{FF2B5EF4-FFF2-40B4-BE49-F238E27FC236}">
                  <a16:creationId xmlns:a16="http://schemas.microsoft.com/office/drawing/2014/main" id="{9811DCAC-5D9A-4C53-AC8C-08CB035DC30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133580" y="3025140"/>
              <a:ext cx="200406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558800</xdr:colOff>
      <xdr:row>19</xdr:row>
      <xdr:rowOff>76200</xdr:rowOff>
    </xdr:from>
    <xdr:to>
      <xdr:col>23</xdr:col>
      <xdr:colOff>114300</xdr:colOff>
      <xdr:row>25</xdr:row>
      <xdr:rowOff>15240</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0FA1E6AF-640C-419E-83A3-8535A011D6D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2141200" y="3947160"/>
              <a:ext cx="1993900" cy="1036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22860</xdr:colOff>
      <xdr:row>0</xdr:row>
      <xdr:rowOff>0</xdr:rowOff>
    </xdr:from>
    <xdr:to>
      <xdr:col>8</xdr:col>
      <xdr:colOff>478726</xdr:colOff>
      <xdr:row>0</xdr:row>
      <xdr:rowOff>563880</xdr:rowOff>
    </xdr:to>
    <xdr:pic>
      <xdr:nvPicPr>
        <xdr:cNvPr id="8" name="Picture 7">
          <a:extLst>
            <a:ext uri="{FF2B5EF4-FFF2-40B4-BE49-F238E27FC236}">
              <a16:creationId xmlns:a16="http://schemas.microsoft.com/office/drawing/2014/main" id="{C80526AA-707A-1BA6-0493-A8E00143654E}"/>
            </a:ext>
          </a:extLst>
        </xdr:cNvPr>
        <xdr:cNvPicPr>
          <a:picLocks noChangeAspect="1"/>
        </xdr:cNvPicPr>
      </xdr:nvPicPr>
      <xdr:blipFill>
        <a:blip xmlns:r="http://schemas.openxmlformats.org/officeDocument/2006/relationships" r:embed="rId7"/>
        <a:stretch>
          <a:fillRect/>
        </a:stretch>
      </xdr:blipFill>
      <xdr:spPr>
        <a:xfrm>
          <a:off x="4290060" y="0"/>
          <a:ext cx="1065466" cy="563880"/>
        </a:xfrm>
        <a:prstGeom prst="rect">
          <a:avLst/>
        </a:prstGeom>
      </xdr:spPr>
    </xdr:pic>
    <xdr:clientData/>
  </xdr:twoCellAnchor>
  <xdr:twoCellAnchor editAs="oneCell">
    <xdr:from>
      <xdr:col>17</xdr:col>
      <xdr:colOff>335280</xdr:colOff>
      <xdr:row>0</xdr:row>
      <xdr:rowOff>22860</xdr:rowOff>
    </xdr:from>
    <xdr:to>
      <xdr:col>19</xdr:col>
      <xdr:colOff>441960</xdr:colOff>
      <xdr:row>0</xdr:row>
      <xdr:rowOff>571500</xdr:rowOff>
    </xdr:to>
    <xdr:pic>
      <xdr:nvPicPr>
        <xdr:cNvPr id="11" name="Picture 10">
          <a:extLst>
            <a:ext uri="{FF2B5EF4-FFF2-40B4-BE49-F238E27FC236}">
              <a16:creationId xmlns:a16="http://schemas.microsoft.com/office/drawing/2014/main" id="{4DC1EBDD-2898-6CB9-6CC0-E12B28F25D6B}"/>
            </a:ext>
          </a:extLst>
        </xdr:cNvPr>
        <xdr:cNvPicPr>
          <a:picLocks noChangeAspect="1"/>
        </xdr:cNvPicPr>
      </xdr:nvPicPr>
      <xdr:blipFill>
        <a:blip xmlns:r="http://schemas.openxmlformats.org/officeDocument/2006/relationships" r:embed="rId8"/>
        <a:stretch>
          <a:fillRect/>
        </a:stretch>
      </xdr:blipFill>
      <xdr:spPr>
        <a:xfrm>
          <a:off x="10698480" y="22860"/>
          <a:ext cx="1325880" cy="54864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yadav" refreshedDate="46304.645173032404" createdVersion="8" refreshedVersion="8" minRefreshableVersion="3" recordCount="100" xr:uid="{643144FD-8FE1-4240-B418-DC985F858320}">
  <cacheSource type="worksheet">
    <worksheetSource ref="A1:L101" sheet="Employee_Performance_Data"/>
  </cacheSource>
  <cacheFields count="12">
    <cacheField name="Emp_ID" numFmtId="0">
      <sharedItems/>
    </cacheField>
    <cacheField name="Name" numFmtId="0">
      <sharedItems count="20">
        <s v="Manoj"/>
        <s v="Ishita"/>
        <s v="Rahul"/>
        <s v="Ajay"/>
        <s v="Neha"/>
        <s v="Meera"/>
        <s v="Divya"/>
        <s v="Priya"/>
        <s v="Rohit"/>
        <s v="Sneha"/>
        <s v="Pooja"/>
        <s v="Varun"/>
        <s v="Kavya"/>
        <s v="Ananya"/>
        <s v="Vivek"/>
        <s v="Nikhil"/>
        <s v="Sanjay"/>
        <s v="Arjun"/>
        <s v="Kiran"/>
        <s v="Ritika"/>
      </sharedItems>
    </cacheField>
    <cacheField name="Department" numFmtId="0">
      <sharedItems count="6">
        <s v="Finance"/>
        <s v="Data Science"/>
        <s v="Operations"/>
        <s v="IT"/>
        <s v="Marketing"/>
        <s v="HR"/>
      </sharedItems>
    </cacheField>
    <cacheField name="Region" numFmtId="0">
      <sharedItems count="4">
        <s v="West"/>
        <s v="East"/>
        <s v="North"/>
        <s v="South"/>
      </sharedItems>
    </cacheField>
    <cacheField name="ExperienceYears" numFmtId="0">
      <sharedItems containsSemiMixedTypes="0" containsString="0" containsNumber="1" containsInteger="1" minValue="1" maxValue="15"/>
    </cacheField>
    <cacheField name="Monthly_Salary" numFmtId="164">
      <sharedItems containsSemiMixedTypes="0" containsString="0" containsNumber="1" containsInteger="1" minValue="30120" maxValue="119926"/>
    </cacheField>
    <cacheField name="Projects_Completed" numFmtId="0">
      <sharedItems containsSemiMixedTypes="0" containsString="0" containsNumber="1" containsInteger="1" minValue="1" maxValue="25"/>
    </cacheField>
    <cacheField name="Performance_Score" numFmtId="0">
      <sharedItems containsSemiMixedTypes="0" containsString="0" containsNumber="1" minValue="60.9" maxValue="98.61"/>
    </cacheField>
    <cacheField name="Training_Hours" numFmtId="0">
      <sharedItems containsSemiMixedTypes="0" containsString="0" containsNumber="1" containsInteger="1" minValue="5" maxValue="80"/>
    </cacheField>
    <cacheField name="Bonus" numFmtId="0">
      <sharedItems containsSemiMixedTypes="0" containsString="0" containsNumber="1" containsInteger="1" minValue="6335" maxValue="49954"/>
    </cacheField>
    <cacheField name="Joining_Year" numFmtId="0">
      <sharedItems containsSemiMixedTypes="0" containsString="0" containsNumber="1" containsInteger="1" minValue="2015" maxValue="2025"/>
    </cacheField>
    <cacheField name="Work_Mode" numFmtId="0">
      <sharedItems count="3">
        <s v="Remote"/>
        <s v="Office"/>
        <s v="Hybrid"/>
      </sharedItems>
    </cacheField>
  </cacheFields>
  <extLst>
    <ext xmlns:x14="http://schemas.microsoft.com/office/spreadsheetml/2009/9/main" uri="{725AE2AE-9491-48be-B2B4-4EB974FC3084}">
      <x14:pivotCacheDefinition pivotCacheId="157940521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 yadav" refreshedDate="46304.696517939818" createdVersion="8" refreshedVersion="8" minRefreshableVersion="3" recordCount="101" xr:uid="{8D3DB2F0-4575-456F-990C-5CE6EA577CC3}">
  <cacheSource type="worksheet">
    <worksheetSource ref="C1:C1048576" sheet="Employee_Performance_Data"/>
  </cacheSource>
  <cacheFields count="1">
    <cacheField name="Department" numFmtId="0">
      <sharedItems containsBlank="1" count="7">
        <s v="Finance"/>
        <s v="Data Science"/>
        <s v="Operations"/>
        <s v="IT"/>
        <s v="Marketing"/>
        <s v="H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E001"/>
    <x v="0"/>
    <x v="0"/>
    <x v="0"/>
    <n v="11"/>
    <n v="30120"/>
    <n v="24"/>
    <n v="61.67"/>
    <n v="29"/>
    <n v="15977"/>
    <n v="2021"/>
    <x v="0"/>
  </r>
  <r>
    <s v="E002"/>
    <x v="1"/>
    <x v="1"/>
    <x v="1"/>
    <n v="10"/>
    <n v="53964"/>
    <n v="12"/>
    <n v="85.26"/>
    <n v="43"/>
    <n v="23945"/>
    <n v="2019"/>
    <x v="0"/>
  </r>
  <r>
    <s v="E003"/>
    <x v="2"/>
    <x v="2"/>
    <x v="0"/>
    <n v="8"/>
    <n v="66149"/>
    <n v="7"/>
    <n v="95.57"/>
    <n v="6"/>
    <n v="44390"/>
    <n v="2017"/>
    <x v="1"/>
  </r>
  <r>
    <s v="E004"/>
    <x v="3"/>
    <x v="3"/>
    <x v="1"/>
    <n v="8"/>
    <n v="85336"/>
    <n v="14"/>
    <n v="93.7"/>
    <n v="44"/>
    <n v="22518"/>
    <n v="2018"/>
    <x v="0"/>
  </r>
  <r>
    <s v="E005"/>
    <x v="4"/>
    <x v="1"/>
    <x v="2"/>
    <n v="2"/>
    <n v="56440"/>
    <n v="1"/>
    <n v="75"/>
    <n v="24"/>
    <n v="48852"/>
    <n v="2020"/>
    <x v="1"/>
  </r>
  <r>
    <s v="E006"/>
    <x v="5"/>
    <x v="4"/>
    <x v="3"/>
    <n v="5"/>
    <n v="55064"/>
    <n v="2"/>
    <n v="87.89"/>
    <n v="44"/>
    <n v="6932"/>
    <n v="2022"/>
    <x v="2"/>
  </r>
  <r>
    <s v="E007"/>
    <x v="4"/>
    <x v="0"/>
    <x v="2"/>
    <n v="14"/>
    <n v="39627"/>
    <n v="17"/>
    <n v="64.680000000000007"/>
    <n v="44"/>
    <n v="15396"/>
    <n v="2015"/>
    <x v="2"/>
  </r>
  <r>
    <s v="E008"/>
    <x v="6"/>
    <x v="3"/>
    <x v="2"/>
    <n v="13"/>
    <n v="99788"/>
    <n v="22"/>
    <n v="93.99"/>
    <n v="46"/>
    <n v="48543"/>
    <n v="2021"/>
    <x v="0"/>
  </r>
  <r>
    <s v="E009"/>
    <x v="7"/>
    <x v="5"/>
    <x v="0"/>
    <n v="7"/>
    <n v="93782"/>
    <n v="13"/>
    <n v="81.33"/>
    <n v="14"/>
    <n v="20786"/>
    <n v="2016"/>
    <x v="2"/>
  </r>
  <r>
    <s v="E010"/>
    <x v="8"/>
    <x v="4"/>
    <x v="3"/>
    <n v="15"/>
    <n v="119516"/>
    <n v="9"/>
    <n v="86.52"/>
    <n v="61"/>
    <n v="19120"/>
    <n v="2024"/>
    <x v="1"/>
  </r>
  <r>
    <s v="E011"/>
    <x v="7"/>
    <x v="5"/>
    <x v="2"/>
    <n v="11"/>
    <n v="67408"/>
    <n v="21"/>
    <n v="69.77"/>
    <n v="42"/>
    <n v="34708"/>
    <n v="2019"/>
    <x v="1"/>
  </r>
  <r>
    <s v="E012"/>
    <x v="9"/>
    <x v="1"/>
    <x v="0"/>
    <n v="8"/>
    <n v="84244"/>
    <n v="13"/>
    <n v="74.319999999999993"/>
    <n v="78"/>
    <n v="47614"/>
    <n v="2022"/>
    <x v="2"/>
  </r>
  <r>
    <s v="E013"/>
    <x v="6"/>
    <x v="3"/>
    <x v="0"/>
    <n v="7"/>
    <n v="69187"/>
    <n v="8"/>
    <n v="88.19"/>
    <n v="70"/>
    <n v="6335"/>
    <n v="2019"/>
    <x v="2"/>
  </r>
  <r>
    <s v="E014"/>
    <x v="10"/>
    <x v="0"/>
    <x v="0"/>
    <n v="10"/>
    <n v="96609"/>
    <n v="15"/>
    <n v="98.46"/>
    <n v="30"/>
    <n v="43014"/>
    <n v="2017"/>
    <x v="1"/>
  </r>
  <r>
    <s v="E015"/>
    <x v="11"/>
    <x v="4"/>
    <x v="0"/>
    <n v="10"/>
    <n v="105323"/>
    <n v="19"/>
    <n v="95.7"/>
    <n v="19"/>
    <n v="11567"/>
    <n v="2020"/>
    <x v="1"/>
  </r>
  <r>
    <s v="E016"/>
    <x v="4"/>
    <x v="4"/>
    <x v="2"/>
    <n v="2"/>
    <n v="83964"/>
    <n v="10"/>
    <n v="64.95"/>
    <n v="59"/>
    <n v="41271"/>
    <n v="2024"/>
    <x v="1"/>
  </r>
  <r>
    <s v="E017"/>
    <x v="10"/>
    <x v="4"/>
    <x v="3"/>
    <n v="1"/>
    <n v="89500"/>
    <n v="3"/>
    <n v="75.33"/>
    <n v="42"/>
    <n v="39884"/>
    <n v="2015"/>
    <x v="0"/>
  </r>
  <r>
    <s v="E018"/>
    <x v="12"/>
    <x v="0"/>
    <x v="0"/>
    <n v="14"/>
    <n v="49558"/>
    <n v="11"/>
    <n v="64.73"/>
    <n v="53"/>
    <n v="29995"/>
    <n v="2015"/>
    <x v="1"/>
  </r>
  <r>
    <s v="E019"/>
    <x v="13"/>
    <x v="2"/>
    <x v="1"/>
    <n v="13"/>
    <n v="61796"/>
    <n v="19"/>
    <n v="90.45"/>
    <n v="31"/>
    <n v="24409"/>
    <n v="2021"/>
    <x v="1"/>
  </r>
  <r>
    <s v="E020"/>
    <x v="12"/>
    <x v="1"/>
    <x v="2"/>
    <n v="11"/>
    <n v="78957"/>
    <n v="15"/>
    <n v="74.7"/>
    <n v="29"/>
    <n v="27277"/>
    <n v="2019"/>
    <x v="0"/>
  </r>
  <r>
    <s v="E021"/>
    <x v="5"/>
    <x v="3"/>
    <x v="2"/>
    <n v="8"/>
    <n v="60325"/>
    <n v="10"/>
    <n v="97.62"/>
    <n v="80"/>
    <n v="48405"/>
    <n v="2019"/>
    <x v="0"/>
  </r>
  <r>
    <s v="E022"/>
    <x v="8"/>
    <x v="5"/>
    <x v="3"/>
    <n v="1"/>
    <n v="110971"/>
    <n v="17"/>
    <n v="60.96"/>
    <n v="13"/>
    <n v="43844"/>
    <n v="2022"/>
    <x v="0"/>
  </r>
  <r>
    <s v="E023"/>
    <x v="8"/>
    <x v="5"/>
    <x v="1"/>
    <n v="8"/>
    <n v="116198"/>
    <n v="12"/>
    <n v="82.51"/>
    <n v="58"/>
    <n v="7877"/>
    <n v="2025"/>
    <x v="1"/>
  </r>
  <r>
    <s v="E024"/>
    <x v="14"/>
    <x v="2"/>
    <x v="1"/>
    <n v="5"/>
    <n v="101512"/>
    <n v="17"/>
    <n v="78.5"/>
    <n v="67"/>
    <n v="45728"/>
    <n v="2019"/>
    <x v="2"/>
  </r>
  <r>
    <s v="E025"/>
    <x v="15"/>
    <x v="5"/>
    <x v="2"/>
    <n v="11"/>
    <n v="74456"/>
    <n v="4"/>
    <n v="63.37"/>
    <n v="30"/>
    <n v="40026"/>
    <n v="2025"/>
    <x v="0"/>
  </r>
  <r>
    <s v="E026"/>
    <x v="12"/>
    <x v="2"/>
    <x v="2"/>
    <n v="15"/>
    <n v="59900"/>
    <n v="16"/>
    <n v="65.540000000000006"/>
    <n v="32"/>
    <n v="19142"/>
    <n v="2025"/>
    <x v="2"/>
  </r>
  <r>
    <s v="E027"/>
    <x v="15"/>
    <x v="0"/>
    <x v="3"/>
    <n v="3"/>
    <n v="119926"/>
    <n v="5"/>
    <n v="79.11"/>
    <n v="17"/>
    <n v="15244"/>
    <n v="2021"/>
    <x v="2"/>
  </r>
  <r>
    <s v="E028"/>
    <x v="3"/>
    <x v="2"/>
    <x v="3"/>
    <n v="12"/>
    <n v="98267"/>
    <n v="5"/>
    <n v="64.23"/>
    <n v="28"/>
    <n v="48893"/>
    <n v="2019"/>
    <x v="1"/>
  </r>
  <r>
    <s v="E029"/>
    <x v="16"/>
    <x v="5"/>
    <x v="1"/>
    <n v="11"/>
    <n v="103627"/>
    <n v="15"/>
    <n v="88.49"/>
    <n v="21"/>
    <n v="41855"/>
    <n v="2024"/>
    <x v="2"/>
  </r>
  <r>
    <s v="E030"/>
    <x v="0"/>
    <x v="3"/>
    <x v="3"/>
    <n v="8"/>
    <n v="53004"/>
    <n v="4"/>
    <n v="64.239999999999995"/>
    <n v="59"/>
    <n v="12878"/>
    <n v="2015"/>
    <x v="2"/>
  </r>
  <r>
    <s v="E031"/>
    <x v="17"/>
    <x v="3"/>
    <x v="1"/>
    <n v="8"/>
    <n v="70427"/>
    <n v="18"/>
    <n v="61.88"/>
    <n v="74"/>
    <n v="25189"/>
    <n v="2016"/>
    <x v="0"/>
  </r>
  <r>
    <s v="E032"/>
    <x v="18"/>
    <x v="4"/>
    <x v="0"/>
    <n v="14"/>
    <n v="33271"/>
    <n v="23"/>
    <n v="78.59"/>
    <n v="80"/>
    <n v="13916"/>
    <n v="2020"/>
    <x v="2"/>
  </r>
  <r>
    <s v="E033"/>
    <x v="10"/>
    <x v="5"/>
    <x v="0"/>
    <n v="5"/>
    <n v="105596"/>
    <n v="22"/>
    <n v="74"/>
    <n v="27"/>
    <n v="17421"/>
    <n v="2015"/>
    <x v="2"/>
  </r>
  <r>
    <s v="E034"/>
    <x v="11"/>
    <x v="3"/>
    <x v="1"/>
    <n v="15"/>
    <n v="104790"/>
    <n v="21"/>
    <n v="63.13"/>
    <n v="55"/>
    <n v="37544"/>
    <n v="2024"/>
    <x v="2"/>
  </r>
  <r>
    <s v="E035"/>
    <x v="9"/>
    <x v="4"/>
    <x v="0"/>
    <n v="3"/>
    <n v="50654"/>
    <n v="16"/>
    <n v="98.21"/>
    <n v="40"/>
    <n v="7286"/>
    <n v="2018"/>
    <x v="2"/>
  </r>
  <r>
    <s v="E036"/>
    <x v="6"/>
    <x v="5"/>
    <x v="1"/>
    <n v="4"/>
    <n v="63471"/>
    <n v="25"/>
    <n v="67.010000000000005"/>
    <n v="23"/>
    <n v="44832"/>
    <n v="2019"/>
    <x v="0"/>
  </r>
  <r>
    <s v="E037"/>
    <x v="15"/>
    <x v="1"/>
    <x v="1"/>
    <n v="1"/>
    <n v="69450"/>
    <n v="16"/>
    <n v="67.650000000000006"/>
    <n v="67"/>
    <n v="46354"/>
    <n v="2020"/>
    <x v="1"/>
  </r>
  <r>
    <s v="E038"/>
    <x v="16"/>
    <x v="1"/>
    <x v="1"/>
    <n v="4"/>
    <n v="64717"/>
    <n v="19"/>
    <n v="88.31"/>
    <n v="42"/>
    <n v="33462"/>
    <n v="2023"/>
    <x v="2"/>
  </r>
  <r>
    <s v="E039"/>
    <x v="14"/>
    <x v="5"/>
    <x v="1"/>
    <n v="10"/>
    <n v="55593"/>
    <n v="25"/>
    <n v="92.55"/>
    <n v="56"/>
    <n v="29982"/>
    <n v="2021"/>
    <x v="1"/>
  </r>
  <r>
    <s v="E040"/>
    <x v="8"/>
    <x v="1"/>
    <x v="1"/>
    <n v="10"/>
    <n v="88186"/>
    <n v="24"/>
    <n v="77.59"/>
    <n v="35"/>
    <n v="10458"/>
    <n v="2020"/>
    <x v="2"/>
  </r>
  <r>
    <s v="E041"/>
    <x v="9"/>
    <x v="2"/>
    <x v="1"/>
    <n v="14"/>
    <n v="53714"/>
    <n v="21"/>
    <n v="68.48"/>
    <n v="13"/>
    <n v="18587"/>
    <n v="2018"/>
    <x v="2"/>
  </r>
  <r>
    <s v="E042"/>
    <x v="6"/>
    <x v="0"/>
    <x v="1"/>
    <n v="7"/>
    <n v="82962"/>
    <n v="23"/>
    <n v="92.55"/>
    <n v="63"/>
    <n v="13513"/>
    <n v="2021"/>
    <x v="1"/>
  </r>
  <r>
    <s v="E043"/>
    <x v="7"/>
    <x v="4"/>
    <x v="3"/>
    <n v="12"/>
    <n v="68616"/>
    <n v="22"/>
    <n v="87.16"/>
    <n v="58"/>
    <n v="35848"/>
    <n v="2017"/>
    <x v="0"/>
  </r>
  <r>
    <s v="E044"/>
    <x v="16"/>
    <x v="0"/>
    <x v="0"/>
    <n v="15"/>
    <n v="93032"/>
    <n v="21"/>
    <n v="95.66"/>
    <n v="13"/>
    <n v="27112"/>
    <n v="2024"/>
    <x v="2"/>
  </r>
  <r>
    <s v="E045"/>
    <x v="18"/>
    <x v="0"/>
    <x v="0"/>
    <n v="8"/>
    <n v="101765"/>
    <n v="8"/>
    <n v="77.459999999999994"/>
    <n v="55"/>
    <n v="12930"/>
    <n v="2022"/>
    <x v="0"/>
  </r>
  <r>
    <s v="E046"/>
    <x v="7"/>
    <x v="0"/>
    <x v="2"/>
    <n v="1"/>
    <n v="69681"/>
    <n v="9"/>
    <n v="73.42"/>
    <n v="6"/>
    <n v="6842"/>
    <n v="2024"/>
    <x v="1"/>
  </r>
  <r>
    <s v="E047"/>
    <x v="0"/>
    <x v="4"/>
    <x v="0"/>
    <n v="14"/>
    <n v="39006"/>
    <n v="6"/>
    <n v="67.14"/>
    <n v="27"/>
    <n v="18925"/>
    <n v="2022"/>
    <x v="2"/>
  </r>
  <r>
    <s v="E048"/>
    <x v="19"/>
    <x v="1"/>
    <x v="1"/>
    <n v="3"/>
    <n v="40955"/>
    <n v="3"/>
    <n v="76.11"/>
    <n v="14"/>
    <n v="44763"/>
    <n v="2023"/>
    <x v="1"/>
  </r>
  <r>
    <s v="E049"/>
    <x v="7"/>
    <x v="5"/>
    <x v="1"/>
    <n v="6"/>
    <n v="80365"/>
    <n v="25"/>
    <n v="98.61"/>
    <n v="5"/>
    <n v="32198"/>
    <n v="2016"/>
    <x v="0"/>
  </r>
  <r>
    <s v="E050"/>
    <x v="3"/>
    <x v="4"/>
    <x v="3"/>
    <n v="2"/>
    <n v="37834"/>
    <n v="8"/>
    <n v="96.44"/>
    <n v="48"/>
    <n v="28223"/>
    <n v="2019"/>
    <x v="0"/>
  </r>
  <r>
    <s v="E051"/>
    <x v="11"/>
    <x v="0"/>
    <x v="1"/>
    <n v="15"/>
    <n v="63655"/>
    <n v="11"/>
    <n v="95.39"/>
    <n v="11"/>
    <n v="24711"/>
    <n v="2018"/>
    <x v="1"/>
  </r>
  <r>
    <s v="E052"/>
    <x v="9"/>
    <x v="3"/>
    <x v="2"/>
    <n v="13"/>
    <n v="69955"/>
    <n v="8"/>
    <n v="92.1"/>
    <n v="22"/>
    <n v="7399"/>
    <n v="2021"/>
    <x v="2"/>
  </r>
  <r>
    <s v="E053"/>
    <x v="6"/>
    <x v="4"/>
    <x v="1"/>
    <n v="14"/>
    <n v="62596"/>
    <n v="5"/>
    <n v="77.95"/>
    <n v="29"/>
    <n v="29302"/>
    <n v="2016"/>
    <x v="2"/>
  </r>
  <r>
    <s v="E054"/>
    <x v="18"/>
    <x v="2"/>
    <x v="2"/>
    <n v="5"/>
    <n v="70722"/>
    <n v="9"/>
    <n v="64.08"/>
    <n v="47"/>
    <n v="6436"/>
    <n v="2017"/>
    <x v="0"/>
  </r>
  <r>
    <s v="E055"/>
    <x v="9"/>
    <x v="0"/>
    <x v="2"/>
    <n v="11"/>
    <n v="41530"/>
    <n v="23"/>
    <n v="96.65"/>
    <n v="62"/>
    <n v="36503"/>
    <n v="2024"/>
    <x v="2"/>
  </r>
  <r>
    <s v="E056"/>
    <x v="18"/>
    <x v="0"/>
    <x v="1"/>
    <n v="11"/>
    <n v="104363"/>
    <n v="2"/>
    <n v="95.16"/>
    <n v="67"/>
    <n v="30190"/>
    <n v="2015"/>
    <x v="1"/>
  </r>
  <r>
    <s v="E057"/>
    <x v="3"/>
    <x v="4"/>
    <x v="3"/>
    <n v="7"/>
    <n v="65521"/>
    <n v="21"/>
    <n v="82.9"/>
    <n v="76"/>
    <n v="12760"/>
    <n v="2024"/>
    <x v="1"/>
  </r>
  <r>
    <s v="E058"/>
    <x v="13"/>
    <x v="2"/>
    <x v="3"/>
    <n v="10"/>
    <n v="69746"/>
    <n v="18"/>
    <n v="64.900000000000006"/>
    <n v="5"/>
    <n v="17941"/>
    <n v="2022"/>
    <x v="0"/>
  </r>
  <r>
    <s v="E059"/>
    <x v="19"/>
    <x v="3"/>
    <x v="2"/>
    <n v="10"/>
    <n v="115922"/>
    <n v="21"/>
    <n v="85.98"/>
    <n v="79"/>
    <n v="27940"/>
    <n v="2019"/>
    <x v="1"/>
  </r>
  <r>
    <s v="E060"/>
    <x v="4"/>
    <x v="1"/>
    <x v="1"/>
    <n v="3"/>
    <n v="96338"/>
    <n v="9"/>
    <n v="67.569999999999993"/>
    <n v="13"/>
    <n v="34137"/>
    <n v="2016"/>
    <x v="2"/>
  </r>
  <r>
    <s v="E061"/>
    <x v="15"/>
    <x v="0"/>
    <x v="3"/>
    <n v="2"/>
    <n v="99428"/>
    <n v="16"/>
    <n v="84.78"/>
    <n v="42"/>
    <n v="35653"/>
    <n v="2022"/>
    <x v="1"/>
  </r>
  <r>
    <s v="E062"/>
    <x v="2"/>
    <x v="2"/>
    <x v="3"/>
    <n v="8"/>
    <n v="74866"/>
    <n v="19"/>
    <n v="92.95"/>
    <n v="49"/>
    <n v="12365"/>
    <n v="2023"/>
    <x v="2"/>
  </r>
  <r>
    <s v="E063"/>
    <x v="3"/>
    <x v="5"/>
    <x v="2"/>
    <n v="14"/>
    <n v="113097"/>
    <n v="2"/>
    <n v="89.11"/>
    <n v="44"/>
    <n v="14175"/>
    <n v="2015"/>
    <x v="1"/>
  </r>
  <r>
    <s v="E064"/>
    <x v="15"/>
    <x v="1"/>
    <x v="3"/>
    <n v="2"/>
    <n v="99658"/>
    <n v="14"/>
    <n v="66.37"/>
    <n v="70"/>
    <n v="29781"/>
    <n v="2021"/>
    <x v="1"/>
  </r>
  <r>
    <s v="E065"/>
    <x v="3"/>
    <x v="0"/>
    <x v="1"/>
    <n v="15"/>
    <n v="70196"/>
    <n v="9"/>
    <n v="76.84"/>
    <n v="23"/>
    <n v="7748"/>
    <n v="2022"/>
    <x v="2"/>
  </r>
  <r>
    <s v="E066"/>
    <x v="4"/>
    <x v="5"/>
    <x v="1"/>
    <n v="10"/>
    <n v="93204"/>
    <n v="23"/>
    <n v="77.64"/>
    <n v="50"/>
    <n v="16310"/>
    <n v="2020"/>
    <x v="1"/>
  </r>
  <r>
    <s v="E067"/>
    <x v="12"/>
    <x v="4"/>
    <x v="1"/>
    <n v="2"/>
    <n v="82228"/>
    <n v="3"/>
    <n v="86.24"/>
    <n v="40"/>
    <n v="12696"/>
    <n v="2023"/>
    <x v="2"/>
  </r>
  <r>
    <s v="E068"/>
    <x v="10"/>
    <x v="3"/>
    <x v="0"/>
    <n v="1"/>
    <n v="87289"/>
    <n v="20"/>
    <n v="89.74"/>
    <n v="64"/>
    <n v="21702"/>
    <n v="2019"/>
    <x v="2"/>
  </r>
  <r>
    <s v="E069"/>
    <x v="10"/>
    <x v="2"/>
    <x v="3"/>
    <n v="1"/>
    <n v="100579"/>
    <n v="2"/>
    <n v="78.44"/>
    <n v="40"/>
    <n v="29140"/>
    <n v="2022"/>
    <x v="0"/>
  </r>
  <r>
    <s v="E070"/>
    <x v="3"/>
    <x v="1"/>
    <x v="2"/>
    <n v="14"/>
    <n v="44201"/>
    <n v="1"/>
    <n v="79.73"/>
    <n v="29"/>
    <n v="27430"/>
    <n v="2016"/>
    <x v="2"/>
  </r>
  <r>
    <s v="E071"/>
    <x v="0"/>
    <x v="1"/>
    <x v="3"/>
    <n v="12"/>
    <n v="42754"/>
    <n v="13"/>
    <n v="65.19"/>
    <n v="14"/>
    <n v="35471"/>
    <n v="2022"/>
    <x v="2"/>
  </r>
  <r>
    <s v="E072"/>
    <x v="19"/>
    <x v="1"/>
    <x v="0"/>
    <n v="10"/>
    <n v="39560"/>
    <n v="24"/>
    <n v="78.3"/>
    <n v="55"/>
    <n v="44043"/>
    <n v="2021"/>
    <x v="0"/>
  </r>
  <r>
    <s v="E073"/>
    <x v="2"/>
    <x v="1"/>
    <x v="2"/>
    <n v="8"/>
    <n v="60118"/>
    <n v="11"/>
    <n v="77.34"/>
    <n v="16"/>
    <n v="49516"/>
    <n v="2025"/>
    <x v="0"/>
  </r>
  <r>
    <s v="E074"/>
    <x v="18"/>
    <x v="5"/>
    <x v="2"/>
    <n v="4"/>
    <n v="64930"/>
    <n v="18"/>
    <n v="94.68"/>
    <n v="20"/>
    <n v="10149"/>
    <n v="2017"/>
    <x v="2"/>
  </r>
  <r>
    <s v="E075"/>
    <x v="1"/>
    <x v="0"/>
    <x v="2"/>
    <n v="14"/>
    <n v="36880"/>
    <n v="17"/>
    <n v="79.97"/>
    <n v="28"/>
    <n v="6437"/>
    <n v="2017"/>
    <x v="1"/>
  </r>
  <r>
    <s v="E076"/>
    <x v="4"/>
    <x v="5"/>
    <x v="2"/>
    <n v="1"/>
    <n v="60064"/>
    <n v="4"/>
    <n v="64.92"/>
    <n v="66"/>
    <n v="39186"/>
    <n v="2021"/>
    <x v="1"/>
  </r>
  <r>
    <s v="E077"/>
    <x v="7"/>
    <x v="4"/>
    <x v="0"/>
    <n v="10"/>
    <n v="69013"/>
    <n v="23"/>
    <n v="68.44"/>
    <n v="33"/>
    <n v="31719"/>
    <n v="2016"/>
    <x v="1"/>
  </r>
  <r>
    <s v="E078"/>
    <x v="10"/>
    <x v="1"/>
    <x v="2"/>
    <n v="11"/>
    <n v="51382"/>
    <n v="23"/>
    <n v="72.03"/>
    <n v="6"/>
    <n v="6800"/>
    <n v="2022"/>
    <x v="1"/>
  </r>
  <r>
    <s v="E079"/>
    <x v="3"/>
    <x v="4"/>
    <x v="0"/>
    <n v="5"/>
    <n v="35319"/>
    <n v="9"/>
    <n v="81.790000000000006"/>
    <n v="45"/>
    <n v="6743"/>
    <n v="2021"/>
    <x v="2"/>
  </r>
  <r>
    <s v="E080"/>
    <x v="11"/>
    <x v="0"/>
    <x v="0"/>
    <n v="7"/>
    <n v="77338"/>
    <n v="6"/>
    <n v="71.38"/>
    <n v="9"/>
    <n v="24261"/>
    <n v="2021"/>
    <x v="0"/>
  </r>
  <r>
    <s v="E081"/>
    <x v="17"/>
    <x v="5"/>
    <x v="3"/>
    <n v="8"/>
    <n v="106076"/>
    <n v="21"/>
    <n v="75.31"/>
    <n v="25"/>
    <n v="42861"/>
    <n v="2021"/>
    <x v="1"/>
  </r>
  <r>
    <s v="E082"/>
    <x v="8"/>
    <x v="1"/>
    <x v="1"/>
    <n v="15"/>
    <n v="53909"/>
    <n v="16"/>
    <n v="84.94"/>
    <n v="19"/>
    <n v="26705"/>
    <n v="2021"/>
    <x v="2"/>
  </r>
  <r>
    <s v="E083"/>
    <x v="11"/>
    <x v="1"/>
    <x v="1"/>
    <n v="5"/>
    <n v="65615"/>
    <n v="11"/>
    <n v="85.05"/>
    <n v="69"/>
    <n v="37192"/>
    <n v="2020"/>
    <x v="1"/>
  </r>
  <r>
    <s v="E084"/>
    <x v="11"/>
    <x v="0"/>
    <x v="2"/>
    <n v="3"/>
    <n v="66308"/>
    <n v="2"/>
    <n v="86.35"/>
    <n v="31"/>
    <n v="22120"/>
    <n v="2024"/>
    <x v="0"/>
  </r>
  <r>
    <s v="E085"/>
    <x v="3"/>
    <x v="1"/>
    <x v="1"/>
    <n v="7"/>
    <n v="85837"/>
    <n v="18"/>
    <n v="90.56"/>
    <n v="54"/>
    <n v="22342"/>
    <n v="2018"/>
    <x v="2"/>
  </r>
  <r>
    <s v="E086"/>
    <x v="3"/>
    <x v="5"/>
    <x v="1"/>
    <n v="14"/>
    <n v="32800"/>
    <n v="15"/>
    <n v="98.15"/>
    <n v="27"/>
    <n v="13320"/>
    <n v="2017"/>
    <x v="1"/>
  </r>
  <r>
    <s v="E087"/>
    <x v="16"/>
    <x v="5"/>
    <x v="1"/>
    <n v="15"/>
    <n v="41950"/>
    <n v="2"/>
    <n v="80.77"/>
    <n v="15"/>
    <n v="31651"/>
    <n v="2020"/>
    <x v="1"/>
  </r>
  <r>
    <s v="E088"/>
    <x v="15"/>
    <x v="0"/>
    <x v="2"/>
    <n v="8"/>
    <n v="112053"/>
    <n v="4"/>
    <n v="79.459999999999994"/>
    <n v="66"/>
    <n v="25757"/>
    <n v="2019"/>
    <x v="1"/>
  </r>
  <r>
    <s v="E089"/>
    <x v="6"/>
    <x v="5"/>
    <x v="0"/>
    <n v="10"/>
    <n v="87119"/>
    <n v="15"/>
    <n v="90.44"/>
    <n v="60"/>
    <n v="29197"/>
    <n v="2018"/>
    <x v="1"/>
  </r>
  <r>
    <s v="E090"/>
    <x v="17"/>
    <x v="5"/>
    <x v="1"/>
    <n v="7"/>
    <n v="83054"/>
    <n v="6"/>
    <n v="60.9"/>
    <n v="56"/>
    <n v="27331"/>
    <n v="2018"/>
    <x v="0"/>
  </r>
  <r>
    <s v="E091"/>
    <x v="9"/>
    <x v="4"/>
    <x v="3"/>
    <n v="2"/>
    <n v="119518"/>
    <n v="23"/>
    <n v="91.36"/>
    <n v="37"/>
    <n v="28397"/>
    <n v="2016"/>
    <x v="1"/>
  </r>
  <r>
    <s v="E092"/>
    <x v="16"/>
    <x v="0"/>
    <x v="1"/>
    <n v="2"/>
    <n v="40665"/>
    <n v="7"/>
    <n v="72.66"/>
    <n v="62"/>
    <n v="46085"/>
    <n v="2021"/>
    <x v="2"/>
  </r>
  <r>
    <s v="E093"/>
    <x v="19"/>
    <x v="2"/>
    <x v="3"/>
    <n v="13"/>
    <n v="61581"/>
    <n v="9"/>
    <n v="89.49"/>
    <n v="11"/>
    <n v="46888"/>
    <n v="2019"/>
    <x v="1"/>
  </r>
  <r>
    <s v="E094"/>
    <x v="4"/>
    <x v="1"/>
    <x v="0"/>
    <n v="15"/>
    <n v="65195"/>
    <n v="12"/>
    <n v="93.54"/>
    <n v="26"/>
    <n v="11109"/>
    <n v="2023"/>
    <x v="2"/>
  </r>
  <r>
    <s v="E095"/>
    <x v="9"/>
    <x v="0"/>
    <x v="0"/>
    <n v="11"/>
    <n v="118349"/>
    <n v="6"/>
    <n v="91.52"/>
    <n v="62"/>
    <n v="18224"/>
    <n v="2022"/>
    <x v="1"/>
  </r>
  <r>
    <s v="E096"/>
    <x v="0"/>
    <x v="0"/>
    <x v="0"/>
    <n v="13"/>
    <n v="51884"/>
    <n v="17"/>
    <n v="84.45"/>
    <n v="11"/>
    <n v="49954"/>
    <n v="2021"/>
    <x v="0"/>
  </r>
  <r>
    <s v="E097"/>
    <x v="13"/>
    <x v="1"/>
    <x v="3"/>
    <n v="4"/>
    <n v="85245"/>
    <n v="12"/>
    <n v="71.64"/>
    <n v="29"/>
    <n v="42467"/>
    <n v="2016"/>
    <x v="1"/>
  </r>
  <r>
    <s v="E098"/>
    <x v="11"/>
    <x v="4"/>
    <x v="1"/>
    <n v="5"/>
    <n v="74090"/>
    <n v="4"/>
    <n v="61.8"/>
    <n v="16"/>
    <n v="37772"/>
    <n v="2022"/>
    <x v="2"/>
  </r>
  <r>
    <s v="E099"/>
    <x v="3"/>
    <x v="5"/>
    <x v="2"/>
    <n v="10"/>
    <n v="67489"/>
    <n v="4"/>
    <n v="92.14"/>
    <n v="30"/>
    <n v="10305"/>
    <n v="2025"/>
    <x v="2"/>
  </r>
  <r>
    <s v="E100"/>
    <x v="16"/>
    <x v="2"/>
    <x v="0"/>
    <n v="13"/>
    <n v="31490"/>
    <n v="11"/>
    <n v="98.3"/>
    <n v="8"/>
    <n v="29527"/>
    <n v="202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r>
  <r>
    <x v="1"/>
  </r>
  <r>
    <x v="2"/>
  </r>
  <r>
    <x v="3"/>
  </r>
  <r>
    <x v="1"/>
  </r>
  <r>
    <x v="4"/>
  </r>
  <r>
    <x v="0"/>
  </r>
  <r>
    <x v="3"/>
  </r>
  <r>
    <x v="5"/>
  </r>
  <r>
    <x v="4"/>
  </r>
  <r>
    <x v="5"/>
  </r>
  <r>
    <x v="1"/>
  </r>
  <r>
    <x v="3"/>
  </r>
  <r>
    <x v="0"/>
  </r>
  <r>
    <x v="4"/>
  </r>
  <r>
    <x v="4"/>
  </r>
  <r>
    <x v="4"/>
  </r>
  <r>
    <x v="0"/>
  </r>
  <r>
    <x v="2"/>
  </r>
  <r>
    <x v="1"/>
  </r>
  <r>
    <x v="3"/>
  </r>
  <r>
    <x v="5"/>
  </r>
  <r>
    <x v="5"/>
  </r>
  <r>
    <x v="2"/>
  </r>
  <r>
    <x v="5"/>
  </r>
  <r>
    <x v="2"/>
  </r>
  <r>
    <x v="0"/>
  </r>
  <r>
    <x v="2"/>
  </r>
  <r>
    <x v="5"/>
  </r>
  <r>
    <x v="3"/>
  </r>
  <r>
    <x v="3"/>
  </r>
  <r>
    <x v="4"/>
  </r>
  <r>
    <x v="5"/>
  </r>
  <r>
    <x v="3"/>
  </r>
  <r>
    <x v="4"/>
  </r>
  <r>
    <x v="5"/>
  </r>
  <r>
    <x v="1"/>
  </r>
  <r>
    <x v="1"/>
  </r>
  <r>
    <x v="5"/>
  </r>
  <r>
    <x v="1"/>
  </r>
  <r>
    <x v="2"/>
  </r>
  <r>
    <x v="0"/>
  </r>
  <r>
    <x v="4"/>
  </r>
  <r>
    <x v="0"/>
  </r>
  <r>
    <x v="0"/>
  </r>
  <r>
    <x v="0"/>
  </r>
  <r>
    <x v="4"/>
  </r>
  <r>
    <x v="1"/>
  </r>
  <r>
    <x v="5"/>
  </r>
  <r>
    <x v="4"/>
  </r>
  <r>
    <x v="0"/>
  </r>
  <r>
    <x v="3"/>
  </r>
  <r>
    <x v="4"/>
  </r>
  <r>
    <x v="2"/>
  </r>
  <r>
    <x v="0"/>
  </r>
  <r>
    <x v="0"/>
  </r>
  <r>
    <x v="4"/>
  </r>
  <r>
    <x v="2"/>
  </r>
  <r>
    <x v="3"/>
  </r>
  <r>
    <x v="1"/>
  </r>
  <r>
    <x v="0"/>
  </r>
  <r>
    <x v="2"/>
  </r>
  <r>
    <x v="5"/>
  </r>
  <r>
    <x v="1"/>
  </r>
  <r>
    <x v="0"/>
  </r>
  <r>
    <x v="5"/>
  </r>
  <r>
    <x v="4"/>
  </r>
  <r>
    <x v="3"/>
  </r>
  <r>
    <x v="2"/>
  </r>
  <r>
    <x v="1"/>
  </r>
  <r>
    <x v="1"/>
  </r>
  <r>
    <x v="1"/>
  </r>
  <r>
    <x v="1"/>
  </r>
  <r>
    <x v="5"/>
  </r>
  <r>
    <x v="0"/>
  </r>
  <r>
    <x v="5"/>
  </r>
  <r>
    <x v="4"/>
  </r>
  <r>
    <x v="1"/>
  </r>
  <r>
    <x v="4"/>
  </r>
  <r>
    <x v="0"/>
  </r>
  <r>
    <x v="5"/>
  </r>
  <r>
    <x v="1"/>
  </r>
  <r>
    <x v="1"/>
  </r>
  <r>
    <x v="0"/>
  </r>
  <r>
    <x v="1"/>
  </r>
  <r>
    <x v="5"/>
  </r>
  <r>
    <x v="5"/>
  </r>
  <r>
    <x v="0"/>
  </r>
  <r>
    <x v="5"/>
  </r>
  <r>
    <x v="5"/>
  </r>
  <r>
    <x v="4"/>
  </r>
  <r>
    <x v="0"/>
  </r>
  <r>
    <x v="2"/>
  </r>
  <r>
    <x v="1"/>
  </r>
  <r>
    <x v="0"/>
  </r>
  <r>
    <x v="0"/>
  </r>
  <r>
    <x v="1"/>
  </r>
  <r>
    <x v="4"/>
  </r>
  <r>
    <x v="5"/>
  </r>
  <r>
    <x v="2"/>
  </r>
  <r>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C14D3-D2C1-48B9-A381-CD3445A6440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2:P9" firstHeaderRow="1" firstDataRow="1" firstDataCol="1"/>
  <pivotFields count="12">
    <pivotField showAll="0"/>
    <pivotField showAll="0">
      <items count="21">
        <item x="3"/>
        <item x="13"/>
        <item x="17"/>
        <item x="6"/>
        <item x="1"/>
        <item x="12"/>
        <item x="18"/>
        <item x="0"/>
        <item x="5"/>
        <item x="4"/>
        <item x="15"/>
        <item x="10"/>
        <item x="7"/>
        <item x="2"/>
        <item x="19"/>
        <item x="8"/>
        <item x="16"/>
        <item x="9"/>
        <item x="11"/>
        <item x="14"/>
        <item t="default"/>
      </items>
    </pivotField>
    <pivotField axis="axisRow" showAll="0">
      <items count="7">
        <item x="1"/>
        <item x="0"/>
        <item x="5"/>
        <item x="3"/>
        <item x="4"/>
        <item x="2"/>
        <item t="default"/>
      </items>
    </pivotField>
    <pivotField showAll="0">
      <items count="5">
        <item x="1"/>
        <item x="2"/>
        <item x="3"/>
        <item x="0"/>
        <item t="default"/>
      </items>
    </pivotField>
    <pivotField showAll="0"/>
    <pivotField dataField="1" numFmtId="164" showAll="0"/>
    <pivotField showAll="0"/>
    <pivotField showAll="0"/>
    <pivotField showAll="0"/>
    <pivotField showAll="0"/>
    <pivotField showAll="0"/>
    <pivotField showAll="0"/>
  </pivotFields>
  <rowFields count="1">
    <field x="2"/>
  </rowFields>
  <rowItems count="7">
    <i>
      <x/>
    </i>
    <i>
      <x v="1"/>
    </i>
    <i>
      <x v="2"/>
    </i>
    <i>
      <x v="3"/>
    </i>
    <i>
      <x v="4"/>
    </i>
    <i>
      <x v="5"/>
    </i>
    <i t="grand">
      <x/>
    </i>
  </rowItems>
  <colItems count="1">
    <i/>
  </colItems>
  <dataFields count="1">
    <dataField name="Sum of Monthly_Salary" fld="5"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257C50-09E5-487C-A6E6-449F962B4CC7}" name="PivotTable17"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O24" firstHeaderRow="0" firstDataRow="0" firstDataCol="0"/>
  <pivotFields count="1">
    <pivotField axis="axisRow" showAll="0">
      <items count="8">
        <item x="1"/>
        <item x="0"/>
        <item x="5"/>
        <item x="3"/>
        <item x="4"/>
        <item x="2"/>
        <item x="6"/>
        <item t="default"/>
      </items>
    </pivotField>
  </pivotFields>
  <rowFields count="1">
    <field x="0"/>
  </rowFields>
  <rowItems count="8">
    <i>
      <x/>
    </i>
    <i>
      <x v="1"/>
    </i>
    <i>
      <x v="2"/>
    </i>
    <i>
      <x v="3"/>
    </i>
    <i>
      <x v="4"/>
    </i>
    <i>
      <x v="5"/>
    </i>
    <i>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2E872B-C63A-49DF-B0B5-37D805186BEA}"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69:P73" firstHeaderRow="1" firstDataRow="1" firstDataCol="1"/>
  <pivotFields count="12">
    <pivotField showAll="0"/>
    <pivotField showAll="0">
      <items count="21">
        <item x="3"/>
        <item x="13"/>
        <item x="17"/>
        <item x="6"/>
        <item x="1"/>
        <item x="12"/>
        <item x="18"/>
        <item x="0"/>
        <item x="5"/>
        <item x="4"/>
        <item x="15"/>
        <item x="10"/>
        <item x="7"/>
        <item x="2"/>
        <item x="19"/>
        <item x="8"/>
        <item x="16"/>
        <item x="9"/>
        <item x="11"/>
        <item x="14"/>
        <item t="default"/>
      </items>
    </pivotField>
    <pivotField showAll="0">
      <items count="7">
        <item x="1"/>
        <item x="0"/>
        <item x="5"/>
        <item x="3"/>
        <item x="4"/>
        <item x="2"/>
        <item t="default"/>
      </items>
    </pivotField>
    <pivotField showAll="0">
      <items count="5">
        <item x="1"/>
        <item x="2"/>
        <item x="3"/>
        <item x="0"/>
        <item t="default"/>
      </items>
    </pivotField>
    <pivotField showAll="0"/>
    <pivotField numFmtId="164" showAll="0"/>
    <pivotField dataField="1" showAll="0"/>
    <pivotField showAll="0"/>
    <pivotField showAll="0"/>
    <pivotField showAll="0"/>
    <pivotField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Sum of Projects_Completed" fld="6" baseField="0" baseItem="0"/>
  </dataFields>
  <chartFormats count="8">
    <chartFormat chart="0"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1" count="1" selected="0">
            <x v="0"/>
          </reference>
        </references>
      </pivotArea>
    </chartFormat>
    <chartFormat chart="8" format="7">
      <pivotArea type="data" outline="0" fieldPosition="0">
        <references count="2">
          <reference field="4294967294" count="1" selected="0">
            <x v="0"/>
          </reference>
          <reference field="11" count="1" selected="0">
            <x v="1"/>
          </reference>
        </references>
      </pivotArea>
    </chartFormat>
    <chartFormat chart="8" format="8">
      <pivotArea type="data" outline="0" fieldPosition="0">
        <references count="2">
          <reference field="4294967294" count="1" selected="0">
            <x v="0"/>
          </reference>
          <reference field="11" count="1" selected="0">
            <x v="2"/>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AFFF4-80C8-42B5-BA69-1537062FA11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O81:P85" firstHeaderRow="1" firstDataRow="1" firstDataCol="1"/>
  <pivotFields count="12">
    <pivotField showAll="0"/>
    <pivotField showAll="0">
      <items count="21">
        <item x="3"/>
        <item x="13"/>
        <item x="17"/>
        <item x="6"/>
        <item x="1"/>
        <item x="12"/>
        <item x="18"/>
        <item x="0"/>
        <item x="5"/>
        <item x="4"/>
        <item x="15"/>
        <item x="10"/>
        <item x="7"/>
        <item x="2"/>
        <item x="19"/>
        <item x="8"/>
        <item x="16"/>
        <item x="9"/>
        <item x="11"/>
        <item x="14"/>
        <item t="default"/>
      </items>
    </pivotField>
    <pivotField showAll="0">
      <items count="7">
        <item x="1"/>
        <item x="0"/>
        <item x="5"/>
        <item x="3"/>
        <item x="4"/>
        <item x="2"/>
        <item t="default"/>
      </items>
    </pivotField>
    <pivotField showAll="0">
      <items count="5">
        <item x="1"/>
        <item x="2"/>
        <item x="3"/>
        <item x="0"/>
        <item t="default"/>
      </items>
    </pivotField>
    <pivotField showAll="0"/>
    <pivotField numFmtId="164" showAll="0"/>
    <pivotField showAll="0"/>
    <pivotField showAll="0"/>
    <pivotField dataField="1" showAll="0"/>
    <pivotField showAll="0"/>
    <pivotField showAll="0"/>
    <pivotField axis="axisRow" showAll="0">
      <items count="4">
        <item x="2"/>
        <item x="1"/>
        <item x="0"/>
        <item t="default"/>
      </items>
    </pivotField>
  </pivotFields>
  <rowFields count="1">
    <field x="11"/>
  </rowFields>
  <rowItems count="4">
    <i>
      <x/>
    </i>
    <i>
      <x v="1"/>
    </i>
    <i>
      <x v="2"/>
    </i>
    <i t="grand">
      <x/>
    </i>
  </rowItems>
  <colItems count="1">
    <i/>
  </colItems>
  <dataFields count="1">
    <dataField name="Max of Training_Hours" fld="8" subtotal="max" baseField="11" baseItem="0"/>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A89DCD-7AF8-40A6-8E26-8F815924DB0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O45:P51" firstHeaderRow="1" firstDataRow="1" firstDataCol="1"/>
  <pivotFields count="12">
    <pivotField showAll="0"/>
    <pivotField axis="axisRow" showAll="0" measureFilter="1">
      <items count="21">
        <item x="3"/>
        <item x="13"/>
        <item x="17"/>
        <item x="6"/>
        <item x="1"/>
        <item x="12"/>
        <item x="18"/>
        <item x="0"/>
        <item x="5"/>
        <item x="4"/>
        <item x="15"/>
        <item x="10"/>
        <item x="7"/>
        <item x="2"/>
        <item x="19"/>
        <item x="8"/>
        <item x="16"/>
        <item x="9"/>
        <item x="11"/>
        <item x="14"/>
        <item t="default"/>
      </items>
    </pivotField>
    <pivotField showAll="0">
      <items count="7">
        <item x="1"/>
        <item x="0"/>
        <item x="5"/>
        <item x="3"/>
        <item x="4"/>
        <item x="2"/>
        <item t="default"/>
      </items>
    </pivotField>
    <pivotField showAll="0">
      <items count="5">
        <item x="1"/>
        <item x="2"/>
        <item x="3"/>
        <item x="0"/>
        <item t="default"/>
      </items>
    </pivotField>
    <pivotField showAll="0"/>
    <pivotField numFmtId="164" showAll="0"/>
    <pivotField showAll="0"/>
    <pivotField dataField="1" showAll="0"/>
    <pivotField showAll="0"/>
    <pivotField showAll="0"/>
    <pivotField showAll="0"/>
    <pivotField showAll="0"/>
  </pivotFields>
  <rowFields count="1">
    <field x="1"/>
  </rowFields>
  <rowItems count="6">
    <i>
      <x/>
    </i>
    <i>
      <x v="3"/>
    </i>
    <i>
      <x v="16"/>
    </i>
    <i>
      <x v="17"/>
    </i>
    <i>
      <x v="18"/>
    </i>
    <i t="grand">
      <x/>
    </i>
  </rowItems>
  <colItems count="1">
    <i/>
  </colItems>
  <dataFields count="1">
    <dataField name="Sum of Performance_Score" fld="7"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33F548-3562-481E-9CAC-382CCB06BC9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O30:P37" firstHeaderRow="1" firstDataRow="1" firstDataCol="1"/>
  <pivotFields count="12">
    <pivotField showAll="0"/>
    <pivotField showAll="0">
      <items count="21">
        <item x="3"/>
        <item x="13"/>
        <item x="17"/>
        <item x="6"/>
        <item x="1"/>
        <item x="12"/>
        <item x="18"/>
        <item x="0"/>
        <item x="5"/>
        <item x="4"/>
        <item x="15"/>
        <item x="10"/>
        <item x="7"/>
        <item x="2"/>
        <item x="19"/>
        <item x="8"/>
        <item x="16"/>
        <item x="9"/>
        <item x="11"/>
        <item x="14"/>
        <item t="default"/>
      </items>
    </pivotField>
    <pivotField axis="axisRow" showAll="0">
      <items count="7">
        <item x="1"/>
        <item x="0"/>
        <item x="5"/>
        <item x="3"/>
        <item x="4"/>
        <item x="2"/>
        <item t="default"/>
      </items>
    </pivotField>
    <pivotField showAll="0">
      <items count="5">
        <item x="1"/>
        <item x="2"/>
        <item x="3"/>
        <item x="0"/>
        <item t="default"/>
      </items>
    </pivotField>
    <pivotField showAll="0"/>
    <pivotField numFmtId="164" showAll="0"/>
    <pivotField showAll="0"/>
    <pivotField showAll="0"/>
    <pivotField showAll="0"/>
    <pivotField dataField="1" showAll="0"/>
    <pivotField showAll="0"/>
    <pivotField showAll="0"/>
  </pivotFields>
  <rowFields count="1">
    <field x="2"/>
  </rowFields>
  <rowItems count="7">
    <i>
      <x/>
    </i>
    <i>
      <x v="1"/>
    </i>
    <i>
      <x v="2"/>
    </i>
    <i>
      <x v="3"/>
    </i>
    <i>
      <x v="4"/>
    </i>
    <i>
      <x v="5"/>
    </i>
    <i t="grand">
      <x/>
    </i>
  </rowItems>
  <colItems count="1">
    <i/>
  </colItems>
  <dataFields count="1">
    <dataField name="Sum of Bonus" fld="9"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40F068-8A0E-4CA7-AE31-970009BD44B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O16:P21" firstHeaderRow="1" firstDataRow="1" firstDataCol="1"/>
  <pivotFields count="12">
    <pivotField showAll="0"/>
    <pivotField showAll="0">
      <items count="21">
        <item x="3"/>
        <item x="13"/>
        <item x="17"/>
        <item x="6"/>
        <item x="1"/>
        <item x="12"/>
        <item x="18"/>
        <item x="0"/>
        <item x="5"/>
        <item x="4"/>
        <item x="15"/>
        <item x="10"/>
        <item x="7"/>
        <item x="2"/>
        <item x="19"/>
        <item x="8"/>
        <item x="16"/>
        <item x="9"/>
        <item x="11"/>
        <item x="14"/>
        <item t="default"/>
      </items>
    </pivotField>
    <pivotField showAll="0">
      <items count="7">
        <item x="1"/>
        <item x="0"/>
        <item x="5"/>
        <item x="3"/>
        <item x="4"/>
        <item x="2"/>
        <item t="default"/>
      </items>
    </pivotField>
    <pivotField axis="axisRow" showAll="0">
      <items count="5">
        <item x="1"/>
        <item x="2"/>
        <item x="3"/>
        <item x="0"/>
        <item t="default"/>
      </items>
    </pivotField>
    <pivotField showAll="0"/>
    <pivotField numFmtId="164" showAll="0"/>
    <pivotField showAll="0"/>
    <pivotField dataField="1" showAll="0"/>
    <pivotField showAll="0"/>
    <pivotField showAll="0"/>
    <pivotField showAll="0"/>
    <pivotField showAll="0"/>
  </pivotFields>
  <rowFields count="1">
    <field x="3"/>
  </rowFields>
  <rowItems count="5">
    <i>
      <x/>
    </i>
    <i>
      <x v="1"/>
    </i>
    <i>
      <x v="2"/>
    </i>
    <i>
      <x v="3"/>
    </i>
    <i t="grand">
      <x/>
    </i>
  </rowItems>
  <colItems count="1">
    <i/>
  </colItems>
  <dataFields count="1">
    <dataField name="Sum of Performance_Score" fld="7" baseField="0" baseItem="0"/>
  </dataFields>
  <chartFormats count="10">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EA554B-00C7-4AB4-A1A4-76603F4EDF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88" firstHeaderRow="0" firstDataRow="0" firstDataCol="0" rowPageCount="1" colPageCount="1"/>
  <pivotFields count="12">
    <pivotField showAll="0"/>
    <pivotField showAll="0">
      <items count="21">
        <item x="3"/>
        <item x="13"/>
        <item x="17"/>
        <item x="6"/>
        <item x="1"/>
        <item x="12"/>
        <item x="18"/>
        <item x="0"/>
        <item x="5"/>
        <item x="4"/>
        <item x="15"/>
        <item x="10"/>
        <item x="7"/>
        <item x="2"/>
        <item x="19"/>
        <item x="8"/>
        <item x="16"/>
        <item x="9"/>
        <item x="11"/>
        <item x="14"/>
        <item t="default"/>
      </items>
    </pivotField>
    <pivotField axis="axisPage" showAll="0">
      <items count="7">
        <item x="1"/>
        <item x="0"/>
        <item x="5"/>
        <item x="3"/>
        <item x="4"/>
        <item x="2"/>
        <item t="default"/>
      </items>
    </pivotField>
    <pivotField showAll="0">
      <items count="5">
        <item x="1"/>
        <item x="2"/>
        <item x="3"/>
        <item x="0"/>
        <item t="default"/>
      </items>
    </pivotField>
    <pivotField showAll="0"/>
    <pivotField numFmtId="164" showAll="0"/>
    <pivotField showAll="0"/>
    <pivotField showAll="0"/>
    <pivotField showAll="0"/>
    <pivotField showAll="0"/>
    <pivotField showAll="0"/>
    <pivotField showAll="0"/>
  </pivotFields>
  <pageFields count="1">
    <pageField fld="2"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8</v>
    <v>7</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395B2E6-B7D1-46B4-94F9-98511AC771CC}" sourceName="Department">
  <pivotTables>
    <pivotTable tabId="1" name="PivotTable1"/>
    <pivotTable tabId="1" name="PivotTable11"/>
    <pivotTable tabId="1" name="PivotTable12"/>
    <pivotTable tabId="1" name="PivotTable13"/>
    <pivotTable tabId="1" name="PivotTable14"/>
    <pivotTable tabId="1" name="PivotTable15"/>
    <pivotTable tabId="1" name="PivotTable16"/>
  </pivotTables>
  <data>
    <tabular pivotCacheId="1579405214">
      <items count="6">
        <i x="1" s="1"/>
        <i x="0" s="1"/>
        <i x="5" s="1"/>
        <i x="3"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9C2AA5B-C58A-4B06-9F9A-7BC23844BDD2}" sourceName="Region">
  <pivotTables>
    <pivotTable tabId="1" name="PivotTable1"/>
    <pivotTable tabId="1" name="PivotTable11"/>
    <pivotTable tabId="1" name="PivotTable12"/>
    <pivotTable tabId="1" name="PivotTable13"/>
    <pivotTable tabId="1" name="PivotTable14"/>
    <pivotTable tabId="1" name="PivotTable15"/>
    <pivotTable tabId="1" name="PivotTable16"/>
  </pivotTables>
  <data>
    <tabular pivotCacheId="1579405214">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112B6957-7454-455F-97DA-9C698427772C}" sourceName="Name">
  <pivotTables>
    <pivotTable tabId="1" name="PivotTable14"/>
    <pivotTable tabId="1" name="PivotTable1"/>
    <pivotTable tabId="1" name="PivotTable11"/>
    <pivotTable tabId="1" name="PivotTable12"/>
    <pivotTable tabId="1" name="PivotTable13"/>
    <pivotTable tabId="1" name="PivotTable15"/>
    <pivotTable tabId="1" name="PivotTable16"/>
  </pivotTables>
  <data>
    <tabular pivotCacheId="1579405214">
      <items count="20">
        <i x="3" s="1"/>
        <i x="13" s="1"/>
        <i x="17" s="1"/>
        <i x="6" s="1"/>
        <i x="1" s="1"/>
        <i x="12" s="1"/>
        <i x="18" s="1"/>
        <i x="0" s="1"/>
        <i x="5" s="1"/>
        <i x="4" s="1"/>
        <i x="15" s="1"/>
        <i x="10" s="1"/>
        <i x="7" s="1"/>
        <i x="2" s="1"/>
        <i x="19" s="1"/>
        <i x="8" s="1"/>
        <i x="16" s="1"/>
        <i x="9" s="1"/>
        <i x="11" s="1"/>
        <i x="1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C82A2E5-4FF6-4679-8755-CA841EB74CE5}" cache="Slicer_Department" caption="Department" rowHeight="234950"/>
  <slicer name="Region" xr10:uid="{878B3A4A-98F5-417D-A256-F5ACFCE0C404}" cache="Slicer_Region" caption="Region" rowHeight="234950"/>
  <slicer name="Name" xr10:uid="{289B10A3-DA6B-4CFB-BF8F-A00F215DEF17}" cache="Slicer_Name" caption="Nam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53B945B0-FDE8-488B-9838-55CC9B7DCF20}" cache="Slicer_Department" caption="Department" columnCount="2" style="SlicerStyleOther2" rowHeight="234950"/>
  <slicer name="Region 1" xr10:uid="{04C0B6ED-8877-4389-A841-1F8F44953117}" cache="Slicer_Region" caption="Region" columnCount="2" style="SlicerStyleLigh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1"/>
  <sheetViews>
    <sheetView topLeftCell="F44" workbookViewId="0">
      <selection activeCell="O45" sqref="O45:O51"/>
    </sheetView>
  </sheetViews>
  <sheetFormatPr defaultRowHeight="14.4" x14ac:dyDescent="0.3"/>
  <cols>
    <col min="1" max="1" width="9.109375" style="5" customWidth="1"/>
    <col min="2" max="2" width="8.109375" style="5" customWidth="1"/>
    <col min="3" max="3" width="11.33203125" style="5" customWidth="1"/>
    <col min="4" max="4" width="8" style="5" customWidth="1"/>
    <col min="5" max="5" width="14.21875" style="5" customWidth="1"/>
    <col min="6" max="6" width="13.77734375" style="8" customWidth="1"/>
    <col min="7" max="7" width="18.109375" style="5" customWidth="1"/>
    <col min="8" max="8" width="17.6640625" style="5" customWidth="1"/>
    <col min="9" max="9" width="14.33203125" style="5" customWidth="1"/>
    <col min="10" max="10" width="7.77734375" style="5" customWidth="1"/>
    <col min="11" max="12" width="11.33203125" style="5" customWidth="1"/>
    <col min="15" max="15" width="12.5546875" bestFit="1" customWidth="1"/>
    <col min="16" max="16" width="20.21875" bestFit="1" customWidth="1"/>
    <col min="17" max="17" width="24.33203125" bestFit="1" customWidth="1"/>
    <col min="18" max="18" width="3.33203125" bestFit="1" customWidth="1"/>
    <col min="19" max="19" width="2.5546875" bestFit="1" customWidth="1"/>
    <col min="20" max="20" width="9.6640625" bestFit="1" customWidth="1"/>
    <col min="21" max="21" width="10.21875" bestFit="1" customWidth="1"/>
    <col min="22" max="22" width="10.77734375" bestFit="1" customWidth="1"/>
  </cols>
  <sheetData>
    <row r="1" spans="1:16" x14ac:dyDescent="0.3">
      <c r="A1" s="6" t="s">
        <v>0</v>
      </c>
      <c r="B1" s="6" t="s">
        <v>160</v>
      </c>
      <c r="C1" s="6" t="s">
        <v>1</v>
      </c>
      <c r="D1" s="6" t="s">
        <v>2</v>
      </c>
      <c r="E1" s="6" t="s">
        <v>161</v>
      </c>
      <c r="F1" s="7" t="s">
        <v>3</v>
      </c>
      <c r="G1" s="6" t="s">
        <v>4</v>
      </c>
      <c r="H1" s="6" t="s">
        <v>5</v>
      </c>
      <c r="I1" s="6" t="s">
        <v>6</v>
      </c>
      <c r="J1" s="6" t="s">
        <v>7</v>
      </c>
      <c r="K1" s="6" t="s">
        <v>8</v>
      </c>
      <c r="L1" s="6" t="s">
        <v>9</v>
      </c>
    </row>
    <row r="2" spans="1:16" x14ac:dyDescent="0.3">
      <c r="A2" s="5" t="s">
        <v>10</v>
      </c>
      <c r="B2" s="5" t="s">
        <v>11</v>
      </c>
      <c r="C2" s="5" t="s">
        <v>12</v>
      </c>
      <c r="D2" s="5" t="s">
        <v>13</v>
      </c>
      <c r="E2" s="5">
        <v>11</v>
      </c>
      <c r="F2" s="8">
        <v>30120</v>
      </c>
      <c r="G2" s="5">
        <v>24</v>
      </c>
      <c r="H2" s="5">
        <v>61.67</v>
      </c>
      <c r="I2" s="5">
        <v>29</v>
      </c>
      <c r="J2" s="5">
        <v>15977</v>
      </c>
      <c r="K2" s="5">
        <v>2021</v>
      </c>
      <c r="L2" s="5" t="s">
        <v>14</v>
      </c>
      <c r="O2" s="9" t="s">
        <v>163</v>
      </c>
      <c r="P2" t="s">
        <v>165</v>
      </c>
    </row>
    <row r="3" spans="1:16" x14ac:dyDescent="0.3">
      <c r="A3" s="5" t="s">
        <v>15</v>
      </c>
      <c r="B3" s="5" t="s">
        <v>16</v>
      </c>
      <c r="C3" s="5" t="s">
        <v>17</v>
      </c>
      <c r="D3" s="5" t="s">
        <v>18</v>
      </c>
      <c r="E3" s="5">
        <v>10</v>
      </c>
      <c r="F3" s="8">
        <v>53964</v>
      </c>
      <c r="G3" s="5">
        <v>12</v>
      </c>
      <c r="H3" s="5">
        <v>85.26</v>
      </c>
      <c r="I3" s="5">
        <v>43</v>
      </c>
      <c r="J3" s="5">
        <v>23945</v>
      </c>
      <c r="K3" s="5">
        <v>2019</v>
      </c>
      <c r="L3" s="5" t="s">
        <v>14</v>
      </c>
      <c r="O3" s="10" t="s">
        <v>17</v>
      </c>
      <c r="P3" s="11">
        <v>1326725</v>
      </c>
    </row>
    <row r="4" spans="1:16" x14ac:dyDescent="0.3">
      <c r="A4" s="5" t="s">
        <v>19</v>
      </c>
      <c r="B4" s="5" t="s">
        <v>20</v>
      </c>
      <c r="C4" s="5" t="s">
        <v>21</v>
      </c>
      <c r="D4" s="5" t="s">
        <v>13</v>
      </c>
      <c r="E4" s="5">
        <v>8</v>
      </c>
      <c r="F4" s="8">
        <v>66149</v>
      </c>
      <c r="G4" s="5">
        <v>7</v>
      </c>
      <c r="H4" s="5">
        <v>95.57</v>
      </c>
      <c r="I4" s="5">
        <v>6</v>
      </c>
      <c r="J4" s="5">
        <v>44390</v>
      </c>
      <c r="K4" s="5">
        <v>2017</v>
      </c>
      <c r="L4" s="5" t="s">
        <v>22</v>
      </c>
      <c r="O4" s="10" t="s">
        <v>12</v>
      </c>
      <c r="P4" s="11">
        <v>1565929</v>
      </c>
    </row>
    <row r="5" spans="1:16" x14ac:dyDescent="0.3">
      <c r="A5" s="5" t="s">
        <v>23</v>
      </c>
      <c r="B5" s="5" t="s">
        <v>24</v>
      </c>
      <c r="C5" s="5" t="s">
        <v>25</v>
      </c>
      <c r="D5" s="5" t="s">
        <v>18</v>
      </c>
      <c r="E5" s="5">
        <v>8</v>
      </c>
      <c r="F5" s="8">
        <v>85336</v>
      </c>
      <c r="G5" s="5">
        <v>14</v>
      </c>
      <c r="H5" s="5">
        <v>93.7</v>
      </c>
      <c r="I5" s="5">
        <v>44</v>
      </c>
      <c r="J5" s="5">
        <v>22518</v>
      </c>
      <c r="K5" s="5">
        <v>2018</v>
      </c>
      <c r="L5" s="5" t="s">
        <v>14</v>
      </c>
      <c r="O5" s="10" t="s">
        <v>39</v>
      </c>
      <c r="P5" s="11">
        <v>1621250</v>
      </c>
    </row>
    <row r="6" spans="1:16" x14ac:dyDescent="0.3">
      <c r="A6" s="5" t="s">
        <v>26</v>
      </c>
      <c r="B6" s="5" t="s">
        <v>27</v>
      </c>
      <c r="C6" s="5" t="s">
        <v>17</v>
      </c>
      <c r="D6" s="5" t="s">
        <v>28</v>
      </c>
      <c r="E6" s="5">
        <v>2</v>
      </c>
      <c r="F6" s="8">
        <v>56440</v>
      </c>
      <c r="G6" s="5">
        <v>1</v>
      </c>
      <c r="H6" s="5">
        <v>75</v>
      </c>
      <c r="I6" s="5">
        <v>24</v>
      </c>
      <c r="J6" s="5">
        <v>48852</v>
      </c>
      <c r="K6" s="5">
        <v>2020</v>
      </c>
      <c r="L6" s="5" t="s">
        <v>22</v>
      </c>
      <c r="O6" s="10" t="s">
        <v>25</v>
      </c>
      <c r="P6" s="11">
        <v>816023</v>
      </c>
    </row>
    <row r="7" spans="1:16" x14ac:dyDescent="0.3">
      <c r="A7" s="5" t="s">
        <v>29</v>
      </c>
      <c r="B7" s="5" t="s">
        <v>30</v>
      </c>
      <c r="C7" s="5" t="s">
        <v>31</v>
      </c>
      <c r="D7" s="5" t="s">
        <v>32</v>
      </c>
      <c r="E7" s="5">
        <v>5</v>
      </c>
      <c r="F7" s="8">
        <v>55064</v>
      </c>
      <c r="G7" s="5">
        <v>2</v>
      </c>
      <c r="H7" s="5">
        <v>87.89</v>
      </c>
      <c r="I7" s="5">
        <v>44</v>
      </c>
      <c r="J7" s="5">
        <v>6932</v>
      </c>
      <c r="K7" s="5">
        <v>2022</v>
      </c>
      <c r="L7" s="5" t="s">
        <v>33</v>
      </c>
      <c r="O7" s="10" t="s">
        <v>31</v>
      </c>
      <c r="P7" s="11">
        <v>1191033</v>
      </c>
    </row>
    <row r="8" spans="1:16" x14ac:dyDescent="0.3">
      <c r="A8" s="5" t="s">
        <v>34</v>
      </c>
      <c r="B8" s="5" t="s">
        <v>27</v>
      </c>
      <c r="C8" s="5" t="s">
        <v>12</v>
      </c>
      <c r="D8" s="5" t="s">
        <v>28</v>
      </c>
      <c r="E8" s="5">
        <v>14</v>
      </c>
      <c r="F8" s="8">
        <v>39627</v>
      </c>
      <c r="G8" s="5">
        <v>17</v>
      </c>
      <c r="H8" s="5">
        <v>64.680000000000007</v>
      </c>
      <c r="I8" s="5">
        <v>44</v>
      </c>
      <c r="J8" s="5">
        <v>15396</v>
      </c>
      <c r="K8" s="5">
        <v>2015</v>
      </c>
      <c r="L8" s="5" t="s">
        <v>33</v>
      </c>
      <c r="O8" s="10" t="s">
        <v>21</v>
      </c>
      <c r="P8" s="11">
        <v>850322</v>
      </c>
    </row>
    <row r="9" spans="1:16" x14ac:dyDescent="0.3">
      <c r="A9" s="5" t="s">
        <v>35</v>
      </c>
      <c r="B9" s="5" t="s">
        <v>36</v>
      </c>
      <c r="C9" s="5" t="s">
        <v>25</v>
      </c>
      <c r="D9" s="5" t="s">
        <v>28</v>
      </c>
      <c r="E9" s="5">
        <v>13</v>
      </c>
      <c r="F9" s="8">
        <v>99788</v>
      </c>
      <c r="G9" s="5">
        <v>22</v>
      </c>
      <c r="H9" s="5">
        <v>93.99</v>
      </c>
      <c r="I9" s="5">
        <v>46</v>
      </c>
      <c r="J9" s="5">
        <v>48543</v>
      </c>
      <c r="K9" s="5">
        <v>2021</v>
      </c>
      <c r="L9" s="5" t="s">
        <v>14</v>
      </c>
      <c r="O9" s="10" t="s">
        <v>164</v>
      </c>
      <c r="P9" s="11">
        <v>7371282</v>
      </c>
    </row>
    <row r="10" spans="1:16" x14ac:dyDescent="0.3">
      <c r="A10" s="5" t="s">
        <v>37</v>
      </c>
      <c r="B10" s="5" t="s">
        <v>38</v>
      </c>
      <c r="C10" s="5" t="s">
        <v>39</v>
      </c>
      <c r="D10" s="5" t="s">
        <v>13</v>
      </c>
      <c r="E10" s="5">
        <v>7</v>
      </c>
      <c r="F10" s="8">
        <v>93782</v>
      </c>
      <c r="G10" s="5">
        <v>13</v>
      </c>
      <c r="H10" s="5">
        <v>81.33</v>
      </c>
      <c r="I10" s="5">
        <v>14</v>
      </c>
      <c r="J10" s="5">
        <v>20786</v>
      </c>
      <c r="K10" s="5">
        <v>2016</v>
      </c>
      <c r="L10" s="5" t="s">
        <v>33</v>
      </c>
    </row>
    <row r="11" spans="1:16" x14ac:dyDescent="0.3">
      <c r="A11" s="5" t="s">
        <v>40</v>
      </c>
      <c r="B11" s="5" t="s">
        <v>41</v>
      </c>
      <c r="C11" s="5" t="s">
        <v>31</v>
      </c>
      <c r="D11" s="5" t="s">
        <v>32</v>
      </c>
      <c r="E11" s="5">
        <v>15</v>
      </c>
      <c r="F11" s="8">
        <v>119516</v>
      </c>
      <c r="G11" s="5">
        <v>9</v>
      </c>
      <c r="H11" s="5">
        <v>86.52</v>
      </c>
      <c r="I11" s="5">
        <v>61</v>
      </c>
      <c r="J11" s="5">
        <v>19120</v>
      </c>
      <c r="K11" s="5">
        <v>2024</v>
      </c>
      <c r="L11" s="5" t="s">
        <v>22</v>
      </c>
    </row>
    <row r="12" spans="1:16" x14ac:dyDescent="0.3">
      <c r="A12" s="5" t="s">
        <v>42</v>
      </c>
      <c r="B12" s="5" t="s">
        <v>38</v>
      </c>
      <c r="C12" s="5" t="s">
        <v>39</v>
      </c>
      <c r="D12" s="5" t="s">
        <v>28</v>
      </c>
      <c r="E12" s="5">
        <v>11</v>
      </c>
      <c r="F12" s="8">
        <v>67408</v>
      </c>
      <c r="G12" s="5">
        <v>21</v>
      </c>
      <c r="H12" s="5">
        <v>69.77</v>
      </c>
      <c r="I12" s="5">
        <v>42</v>
      </c>
      <c r="J12" s="5">
        <v>34708</v>
      </c>
      <c r="K12" s="5">
        <v>2019</v>
      </c>
      <c r="L12" s="5" t="s">
        <v>22</v>
      </c>
    </row>
    <row r="13" spans="1:16" x14ac:dyDescent="0.3">
      <c r="A13" s="5" t="s">
        <v>43</v>
      </c>
      <c r="B13" s="5" t="s">
        <v>44</v>
      </c>
      <c r="C13" s="5" t="s">
        <v>17</v>
      </c>
      <c r="D13" s="5" t="s">
        <v>13</v>
      </c>
      <c r="E13" s="5">
        <v>8</v>
      </c>
      <c r="F13" s="8">
        <v>84244</v>
      </c>
      <c r="G13" s="5">
        <v>13</v>
      </c>
      <c r="H13" s="5">
        <v>74.319999999999993</v>
      </c>
      <c r="I13" s="5">
        <v>78</v>
      </c>
      <c r="J13" s="5">
        <v>47614</v>
      </c>
      <c r="K13" s="5">
        <v>2022</v>
      </c>
      <c r="L13" s="5" t="s">
        <v>33</v>
      </c>
    </row>
    <row r="14" spans="1:16" x14ac:dyDescent="0.3">
      <c r="A14" s="5" t="s">
        <v>45</v>
      </c>
      <c r="B14" s="5" t="s">
        <v>36</v>
      </c>
      <c r="C14" s="5" t="s">
        <v>25</v>
      </c>
      <c r="D14" s="5" t="s">
        <v>13</v>
      </c>
      <c r="E14" s="5">
        <v>7</v>
      </c>
      <c r="F14" s="8">
        <v>69187</v>
      </c>
      <c r="G14" s="5">
        <v>8</v>
      </c>
      <c r="H14" s="5">
        <v>88.19</v>
      </c>
      <c r="I14" s="5">
        <v>70</v>
      </c>
      <c r="J14" s="5">
        <v>6335</v>
      </c>
      <c r="K14" s="5">
        <v>2019</v>
      </c>
      <c r="L14" s="5" t="s">
        <v>33</v>
      </c>
    </row>
    <row r="15" spans="1:16" x14ac:dyDescent="0.3">
      <c r="A15" s="5" t="s">
        <v>46</v>
      </c>
      <c r="B15" s="5" t="s">
        <v>47</v>
      </c>
      <c r="C15" s="5" t="s">
        <v>12</v>
      </c>
      <c r="D15" s="5" t="s">
        <v>13</v>
      </c>
      <c r="E15" s="5">
        <v>10</v>
      </c>
      <c r="F15" s="8">
        <v>96609</v>
      </c>
      <c r="G15" s="5">
        <v>15</v>
      </c>
      <c r="H15" s="5">
        <v>98.46</v>
      </c>
      <c r="I15" s="5">
        <v>30</v>
      </c>
      <c r="J15" s="5">
        <v>43014</v>
      </c>
      <c r="K15" s="5">
        <v>2017</v>
      </c>
      <c r="L15" s="5" t="s">
        <v>22</v>
      </c>
    </row>
    <row r="16" spans="1:16" x14ac:dyDescent="0.3">
      <c r="A16" s="5" t="s">
        <v>48</v>
      </c>
      <c r="B16" s="5" t="s">
        <v>49</v>
      </c>
      <c r="C16" s="5" t="s">
        <v>31</v>
      </c>
      <c r="D16" s="5" t="s">
        <v>13</v>
      </c>
      <c r="E16" s="5">
        <v>10</v>
      </c>
      <c r="F16" s="8">
        <v>105323</v>
      </c>
      <c r="G16" s="5">
        <v>19</v>
      </c>
      <c r="H16" s="5">
        <v>95.7</v>
      </c>
      <c r="I16" s="5">
        <v>19</v>
      </c>
      <c r="J16" s="5">
        <v>11567</v>
      </c>
      <c r="K16" s="5">
        <v>2020</v>
      </c>
      <c r="L16" s="5" t="s">
        <v>22</v>
      </c>
      <c r="O16" s="9" t="s">
        <v>163</v>
      </c>
      <c r="P16" t="s">
        <v>166</v>
      </c>
    </row>
    <row r="17" spans="1:16" x14ac:dyDescent="0.3">
      <c r="A17" s="5" t="s">
        <v>50</v>
      </c>
      <c r="B17" s="5" t="s">
        <v>27</v>
      </c>
      <c r="C17" s="5" t="s">
        <v>31</v>
      </c>
      <c r="D17" s="5" t="s">
        <v>28</v>
      </c>
      <c r="E17" s="5">
        <v>2</v>
      </c>
      <c r="F17" s="8">
        <v>83964</v>
      </c>
      <c r="G17" s="5">
        <v>10</v>
      </c>
      <c r="H17" s="5">
        <v>64.95</v>
      </c>
      <c r="I17" s="5">
        <v>59</v>
      </c>
      <c r="J17" s="5">
        <v>41271</v>
      </c>
      <c r="K17" s="5">
        <v>2024</v>
      </c>
      <c r="L17" s="5" t="s">
        <v>22</v>
      </c>
      <c r="O17" s="10" t="s">
        <v>18</v>
      </c>
      <c r="P17" s="17">
        <v>2584.4</v>
      </c>
    </row>
    <row r="18" spans="1:16" x14ac:dyDescent="0.3">
      <c r="A18" s="5" t="s">
        <v>51</v>
      </c>
      <c r="B18" s="5" t="s">
        <v>47</v>
      </c>
      <c r="C18" s="5" t="s">
        <v>31</v>
      </c>
      <c r="D18" s="5" t="s">
        <v>32</v>
      </c>
      <c r="E18" s="5">
        <v>1</v>
      </c>
      <c r="F18" s="8">
        <v>89500</v>
      </c>
      <c r="G18" s="5">
        <v>3</v>
      </c>
      <c r="H18" s="5">
        <v>75.33</v>
      </c>
      <c r="I18" s="5">
        <v>42</v>
      </c>
      <c r="J18" s="5">
        <v>39884</v>
      </c>
      <c r="K18" s="5">
        <v>2015</v>
      </c>
      <c r="L18" s="5" t="s">
        <v>14</v>
      </c>
      <c r="O18" s="10" t="s">
        <v>28</v>
      </c>
      <c r="P18" s="17">
        <v>1897.58</v>
      </c>
    </row>
    <row r="19" spans="1:16" x14ac:dyDescent="0.3">
      <c r="A19" s="5" t="s">
        <v>52</v>
      </c>
      <c r="B19" s="5" t="s">
        <v>53</v>
      </c>
      <c r="C19" s="5" t="s">
        <v>12</v>
      </c>
      <c r="D19" s="5" t="s">
        <v>13</v>
      </c>
      <c r="E19" s="5">
        <v>14</v>
      </c>
      <c r="F19" s="8">
        <v>49558</v>
      </c>
      <c r="G19" s="5">
        <v>11</v>
      </c>
      <c r="H19" s="5">
        <v>64.73</v>
      </c>
      <c r="I19" s="5">
        <v>53</v>
      </c>
      <c r="J19" s="5">
        <v>29995</v>
      </c>
      <c r="K19" s="5">
        <v>2015</v>
      </c>
      <c r="L19" s="5" t="s">
        <v>22</v>
      </c>
      <c r="O19" s="10" t="s">
        <v>32</v>
      </c>
      <c r="P19" s="17">
        <v>1565.2099999999998</v>
      </c>
    </row>
    <row r="20" spans="1:16" x14ac:dyDescent="0.3">
      <c r="A20" s="5" t="s">
        <v>54</v>
      </c>
      <c r="B20" s="5" t="s">
        <v>55</v>
      </c>
      <c r="C20" s="5" t="s">
        <v>21</v>
      </c>
      <c r="D20" s="5" t="s">
        <v>18</v>
      </c>
      <c r="E20" s="5">
        <v>13</v>
      </c>
      <c r="F20" s="8">
        <v>61796</v>
      </c>
      <c r="G20" s="5">
        <v>19</v>
      </c>
      <c r="H20" s="5">
        <v>90.45</v>
      </c>
      <c r="I20" s="5">
        <v>31</v>
      </c>
      <c r="J20" s="5">
        <v>24409</v>
      </c>
      <c r="K20" s="5">
        <v>2021</v>
      </c>
      <c r="L20" s="5" t="s">
        <v>22</v>
      </c>
      <c r="O20" s="10" t="s">
        <v>13</v>
      </c>
      <c r="P20" s="17">
        <v>1998.9300000000003</v>
      </c>
    </row>
    <row r="21" spans="1:16" x14ac:dyDescent="0.3">
      <c r="A21" s="5" t="s">
        <v>56</v>
      </c>
      <c r="B21" s="5" t="s">
        <v>53</v>
      </c>
      <c r="C21" s="5" t="s">
        <v>17</v>
      </c>
      <c r="D21" s="5" t="s">
        <v>28</v>
      </c>
      <c r="E21" s="5">
        <v>11</v>
      </c>
      <c r="F21" s="8">
        <v>78957</v>
      </c>
      <c r="G21" s="5">
        <v>15</v>
      </c>
      <c r="H21" s="5">
        <v>74.7</v>
      </c>
      <c r="I21" s="5">
        <v>29</v>
      </c>
      <c r="J21" s="5">
        <v>27277</v>
      </c>
      <c r="K21" s="5">
        <v>2019</v>
      </c>
      <c r="L21" s="5" t="s">
        <v>14</v>
      </c>
      <c r="O21" s="10" t="s">
        <v>164</v>
      </c>
      <c r="P21" s="17">
        <v>8046.12</v>
      </c>
    </row>
    <row r="22" spans="1:16" x14ac:dyDescent="0.3">
      <c r="A22" s="5" t="s">
        <v>57</v>
      </c>
      <c r="B22" s="5" t="s">
        <v>30</v>
      </c>
      <c r="C22" s="5" t="s">
        <v>25</v>
      </c>
      <c r="D22" s="5" t="s">
        <v>28</v>
      </c>
      <c r="E22" s="5">
        <v>8</v>
      </c>
      <c r="F22" s="8">
        <v>60325</v>
      </c>
      <c r="G22" s="5">
        <v>10</v>
      </c>
      <c r="H22" s="5">
        <v>97.62</v>
      </c>
      <c r="I22" s="5">
        <v>80</v>
      </c>
      <c r="J22" s="5">
        <v>48405</v>
      </c>
      <c r="K22" s="5">
        <v>2019</v>
      </c>
      <c r="L22" s="5" t="s">
        <v>14</v>
      </c>
    </row>
    <row r="23" spans="1:16" x14ac:dyDescent="0.3">
      <c r="A23" s="5" t="s">
        <v>58</v>
      </c>
      <c r="B23" s="5" t="s">
        <v>41</v>
      </c>
      <c r="C23" s="5" t="s">
        <v>39</v>
      </c>
      <c r="D23" s="5" t="s">
        <v>32</v>
      </c>
      <c r="E23" s="5">
        <v>1</v>
      </c>
      <c r="F23" s="8">
        <v>110971</v>
      </c>
      <c r="G23" s="5">
        <v>17</v>
      </c>
      <c r="H23" s="5">
        <v>60.96</v>
      </c>
      <c r="I23" s="5">
        <v>13</v>
      </c>
      <c r="J23" s="5">
        <v>43844</v>
      </c>
      <c r="K23" s="5">
        <v>2022</v>
      </c>
      <c r="L23" s="5" t="s">
        <v>14</v>
      </c>
    </row>
    <row r="24" spans="1:16" x14ac:dyDescent="0.3">
      <c r="A24" s="5" t="s">
        <v>59</v>
      </c>
      <c r="B24" s="5" t="s">
        <v>41</v>
      </c>
      <c r="C24" s="5" t="s">
        <v>39</v>
      </c>
      <c r="D24" s="5" t="s">
        <v>18</v>
      </c>
      <c r="E24" s="5">
        <v>8</v>
      </c>
      <c r="F24" s="8">
        <v>116198</v>
      </c>
      <c r="G24" s="5">
        <v>12</v>
      </c>
      <c r="H24" s="5">
        <v>82.51</v>
      </c>
      <c r="I24" s="5">
        <v>58</v>
      </c>
      <c r="J24" s="5">
        <v>7877</v>
      </c>
      <c r="K24" s="5">
        <v>2025</v>
      </c>
      <c r="L24" s="5" t="s">
        <v>22</v>
      </c>
      <c r="O24" t="e" vm="1">
        <v>#VALUE!</v>
      </c>
    </row>
    <row r="25" spans="1:16" x14ac:dyDescent="0.3">
      <c r="A25" s="5" t="s">
        <v>60</v>
      </c>
      <c r="B25" s="5" t="s">
        <v>61</v>
      </c>
      <c r="C25" s="5" t="s">
        <v>21</v>
      </c>
      <c r="D25" s="5" t="s">
        <v>18</v>
      </c>
      <c r="E25" s="5">
        <v>5</v>
      </c>
      <c r="F25" s="8">
        <v>101512</v>
      </c>
      <c r="G25" s="5">
        <v>17</v>
      </c>
      <c r="H25" s="5">
        <v>78.5</v>
      </c>
      <c r="I25" s="5">
        <v>67</v>
      </c>
      <c r="J25" s="5">
        <v>45728</v>
      </c>
      <c r="K25" s="5">
        <v>2019</v>
      </c>
      <c r="L25" s="5" t="s">
        <v>33</v>
      </c>
    </row>
    <row r="26" spans="1:16" x14ac:dyDescent="0.3">
      <c r="A26" s="5" t="s">
        <v>62</v>
      </c>
      <c r="B26" s="5" t="s">
        <v>63</v>
      </c>
      <c r="C26" s="5" t="s">
        <v>39</v>
      </c>
      <c r="D26" s="5" t="s">
        <v>28</v>
      </c>
      <c r="E26" s="5">
        <v>11</v>
      </c>
      <c r="F26" s="8">
        <v>74456</v>
      </c>
      <c r="G26" s="5">
        <v>4</v>
      </c>
      <c r="H26" s="5">
        <v>63.37</v>
      </c>
      <c r="I26" s="5">
        <v>30</v>
      </c>
      <c r="J26" s="5">
        <v>40026</v>
      </c>
      <c r="K26" s="5">
        <v>2025</v>
      </c>
      <c r="L26" s="5" t="s">
        <v>14</v>
      </c>
    </row>
    <row r="27" spans="1:16" x14ac:dyDescent="0.3">
      <c r="A27" s="5" t="s">
        <v>64</v>
      </c>
      <c r="B27" s="5" t="s">
        <v>53</v>
      </c>
      <c r="C27" s="5" t="s">
        <v>21</v>
      </c>
      <c r="D27" s="5" t="s">
        <v>28</v>
      </c>
      <c r="E27" s="5">
        <v>15</v>
      </c>
      <c r="F27" s="8">
        <v>59900</v>
      </c>
      <c r="G27" s="5">
        <v>16</v>
      </c>
      <c r="H27" s="5">
        <v>65.540000000000006</v>
      </c>
      <c r="I27" s="5">
        <v>32</v>
      </c>
      <c r="J27" s="5">
        <v>19142</v>
      </c>
      <c r="K27" s="5">
        <v>2025</v>
      </c>
      <c r="L27" s="5" t="s">
        <v>33</v>
      </c>
    </row>
    <row r="28" spans="1:16" x14ac:dyDescent="0.3">
      <c r="A28" s="5" t="s">
        <v>65</v>
      </c>
      <c r="B28" s="5" t="s">
        <v>63</v>
      </c>
      <c r="C28" s="5" t="s">
        <v>12</v>
      </c>
      <c r="D28" s="5" t="s">
        <v>32</v>
      </c>
      <c r="E28" s="5">
        <v>3</v>
      </c>
      <c r="F28" s="8">
        <v>119926</v>
      </c>
      <c r="G28" s="5">
        <v>5</v>
      </c>
      <c r="H28" s="5">
        <v>79.11</v>
      </c>
      <c r="I28" s="5">
        <v>17</v>
      </c>
      <c r="J28" s="5">
        <v>15244</v>
      </c>
      <c r="K28" s="5">
        <v>2021</v>
      </c>
      <c r="L28" s="5" t="s">
        <v>33</v>
      </c>
    </row>
    <row r="29" spans="1:16" x14ac:dyDescent="0.3">
      <c r="A29" s="5" t="s">
        <v>66</v>
      </c>
      <c r="B29" s="5" t="s">
        <v>24</v>
      </c>
      <c r="C29" s="5" t="s">
        <v>21</v>
      </c>
      <c r="D29" s="5" t="s">
        <v>32</v>
      </c>
      <c r="E29" s="5">
        <v>12</v>
      </c>
      <c r="F29" s="8">
        <v>98267</v>
      </c>
      <c r="G29" s="5">
        <v>5</v>
      </c>
      <c r="H29" s="5">
        <v>64.23</v>
      </c>
      <c r="I29" s="5">
        <v>28</v>
      </c>
      <c r="J29" s="5">
        <v>48893</v>
      </c>
      <c r="K29" s="5">
        <v>2019</v>
      </c>
      <c r="L29" s="5" t="s">
        <v>22</v>
      </c>
    </row>
    <row r="30" spans="1:16" x14ac:dyDescent="0.3">
      <c r="A30" s="5" t="s">
        <v>67</v>
      </c>
      <c r="B30" s="5" t="s">
        <v>68</v>
      </c>
      <c r="C30" s="5" t="s">
        <v>39</v>
      </c>
      <c r="D30" s="5" t="s">
        <v>18</v>
      </c>
      <c r="E30" s="5">
        <v>11</v>
      </c>
      <c r="F30" s="8">
        <v>103627</v>
      </c>
      <c r="G30" s="5">
        <v>15</v>
      </c>
      <c r="H30" s="5">
        <v>88.49</v>
      </c>
      <c r="I30" s="5">
        <v>21</v>
      </c>
      <c r="J30" s="5">
        <v>41855</v>
      </c>
      <c r="K30" s="5">
        <v>2024</v>
      </c>
      <c r="L30" s="5" t="s">
        <v>33</v>
      </c>
      <c r="O30" s="9" t="s">
        <v>163</v>
      </c>
      <c r="P30" t="s">
        <v>167</v>
      </c>
    </row>
    <row r="31" spans="1:16" x14ac:dyDescent="0.3">
      <c r="A31" s="5" t="s">
        <v>69</v>
      </c>
      <c r="B31" s="5" t="s">
        <v>11</v>
      </c>
      <c r="C31" s="5" t="s">
        <v>25</v>
      </c>
      <c r="D31" s="5" t="s">
        <v>32</v>
      </c>
      <c r="E31" s="5">
        <v>8</v>
      </c>
      <c r="F31" s="8">
        <v>53004</v>
      </c>
      <c r="G31" s="5">
        <v>4</v>
      </c>
      <c r="H31" s="5">
        <v>64.239999999999995</v>
      </c>
      <c r="I31" s="5">
        <v>59</v>
      </c>
      <c r="J31" s="5">
        <v>12878</v>
      </c>
      <c r="K31" s="5">
        <v>2015</v>
      </c>
      <c r="L31" s="5" t="s">
        <v>33</v>
      </c>
      <c r="O31" s="10" t="s">
        <v>17</v>
      </c>
      <c r="P31" s="17">
        <v>649718</v>
      </c>
    </row>
    <row r="32" spans="1:16" x14ac:dyDescent="0.3">
      <c r="A32" s="5" t="s">
        <v>70</v>
      </c>
      <c r="B32" s="5" t="s">
        <v>71</v>
      </c>
      <c r="C32" s="5" t="s">
        <v>25</v>
      </c>
      <c r="D32" s="5" t="s">
        <v>18</v>
      </c>
      <c r="E32" s="5">
        <v>8</v>
      </c>
      <c r="F32" s="8">
        <v>70427</v>
      </c>
      <c r="G32" s="5">
        <v>18</v>
      </c>
      <c r="H32" s="5">
        <v>61.88</v>
      </c>
      <c r="I32" s="5">
        <v>74</v>
      </c>
      <c r="J32" s="5">
        <v>25189</v>
      </c>
      <c r="K32" s="5">
        <v>2016</v>
      </c>
      <c r="L32" s="5" t="s">
        <v>14</v>
      </c>
      <c r="O32" s="10" t="s">
        <v>12</v>
      </c>
      <c r="P32" s="17">
        <v>507666</v>
      </c>
    </row>
    <row r="33" spans="1:16" x14ac:dyDescent="0.3">
      <c r="A33" s="5" t="s">
        <v>72</v>
      </c>
      <c r="B33" s="5" t="s">
        <v>73</v>
      </c>
      <c r="C33" s="5" t="s">
        <v>31</v>
      </c>
      <c r="D33" s="5" t="s">
        <v>13</v>
      </c>
      <c r="E33" s="5">
        <v>14</v>
      </c>
      <c r="F33" s="8">
        <v>33271</v>
      </c>
      <c r="G33" s="5">
        <v>23</v>
      </c>
      <c r="H33" s="5">
        <v>78.59</v>
      </c>
      <c r="I33" s="5">
        <v>80</v>
      </c>
      <c r="J33" s="5">
        <v>13916</v>
      </c>
      <c r="K33" s="5">
        <v>2020</v>
      </c>
      <c r="L33" s="5" t="s">
        <v>33</v>
      </c>
      <c r="O33" s="10" t="s">
        <v>39</v>
      </c>
      <c r="P33" s="17">
        <v>548014</v>
      </c>
    </row>
    <row r="34" spans="1:16" x14ac:dyDescent="0.3">
      <c r="A34" s="5" t="s">
        <v>74</v>
      </c>
      <c r="B34" s="5" t="s">
        <v>47</v>
      </c>
      <c r="C34" s="5" t="s">
        <v>39</v>
      </c>
      <c r="D34" s="5" t="s">
        <v>13</v>
      </c>
      <c r="E34" s="5">
        <v>5</v>
      </c>
      <c r="F34" s="8">
        <v>105596</v>
      </c>
      <c r="G34" s="5">
        <v>22</v>
      </c>
      <c r="H34" s="5">
        <v>74</v>
      </c>
      <c r="I34" s="5">
        <v>27</v>
      </c>
      <c r="J34" s="5">
        <v>17421</v>
      </c>
      <c r="K34" s="5">
        <v>2015</v>
      </c>
      <c r="L34" s="5" t="s">
        <v>33</v>
      </c>
      <c r="O34" s="10" t="s">
        <v>25</v>
      </c>
      <c r="P34" s="17">
        <v>258453</v>
      </c>
    </row>
    <row r="35" spans="1:16" x14ac:dyDescent="0.3">
      <c r="A35" s="5" t="s">
        <v>75</v>
      </c>
      <c r="B35" s="5" t="s">
        <v>49</v>
      </c>
      <c r="C35" s="5" t="s">
        <v>25</v>
      </c>
      <c r="D35" s="5" t="s">
        <v>18</v>
      </c>
      <c r="E35" s="5">
        <v>15</v>
      </c>
      <c r="F35" s="8">
        <v>104790</v>
      </c>
      <c r="G35" s="5">
        <v>21</v>
      </c>
      <c r="H35" s="5">
        <v>63.13</v>
      </c>
      <c r="I35" s="5">
        <v>55</v>
      </c>
      <c r="J35" s="5">
        <v>37544</v>
      </c>
      <c r="K35" s="5">
        <v>2024</v>
      </c>
      <c r="L35" s="5" t="s">
        <v>33</v>
      </c>
      <c r="O35" s="10" t="s">
        <v>31</v>
      </c>
      <c r="P35" s="17">
        <v>382361</v>
      </c>
    </row>
    <row r="36" spans="1:16" x14ac:dyDescent="0.3">
      <c r="A36" s="5" t="s">
        <v>76</v>
      </c>
      <c r="B36" s="5" t="s">
        <v>44</v>
      </c>
      <c r="C36" s="5" t="s">
        <v>31</v>
      </c>
      <c r="D36" s="5" t="s">
        <v>13</v>
      </c>
      <c r="E36" s="5">
        <v>3</v>
      </c>
      <c r="F36" s="8">
        <v>50654</v>
      </c>
      <c r="G36" s="5">
        <v>16</v>
      </c>
      <c r="H36" s="5">
        <v>98.21</v>
      </c>
      <c r="I36" s="5">
        <v>40</v>
      </c>
      <c r="J36" s="5">
        <v>7286</v>
      </c>
      <c r="K36" s="5">
        <v>2018</v>
      </c>
      <c r="L36" s="5" t="s">
        <v>33</v>
      </c>
      <c r="O36" s="10" t="s">
        <v>21</v>
      </c>
      <c r="P36" s="17">
        <v>343446</v>
      </c>
    </row>
    <row r="37" spans="1:16" x14ac:dyDescent="0.3">
      <c r="A37" s="5" t="s">
        <v>77</v>
      </c>
      <c r="B37" s="5" t="s">
        <v>36</v>
      </c>
      <c r="C37" s="5" t="s">
        <v>39</v>
      </c>
      <c r="D37" s="5" t="s">
        <v>18</v>
      </c>
      <c r="E37" s="5">
        <v>4</v>
      </c>
      <c r="F37" s="8">
        <v>63471</v>
      </c>
      <c r="G37" s="5">
        <v>25</v>
      </c>
      <c r="H37" s="5">
        <v>67.010000000000005</v>
      </c>
      <c r="I37" s="5">
        <v>23</v>
      </c>
      <c r="J37" s="5">
        <v>44832</v>
      </c>
      <c r="K37" s="5">
        <v>2019</v>
      </c>
      <c r="L37" s="5" t="s">
        <v>14</v>
      </c>
      <c r="O37" s="10" t="s">
        <v>164</v>
      </c>
      <c r="P37" s="17">
        <v>2689658</v>
      </c>
    </row>
    <row r="38" spans="1:16" x14ac:dyDescent="0.3">
      <c r="A38" s="5" t="s">
        <v>78</v>
      </c>
      <c r="B38" s="5" t="s">
        <v>63</v>
      </c>
      <c r="C38" s="5" t="s">
        <v>17</v>
      </c>
      <c r="D38" s="5" t="s">
        <v>18</v>
      </c>
      <c r="E38" s="5">
        <v>1</v>
      </c>
      <c r="F38" s="8">
        <v>69450</v>
      </c>
      <c r="G38" s="5">
        <v>16</v>
      </c>
      <c r="H38" s="5">
        <v>67.650000000000006</v>
      </c>
      <c r="I38" s="5">
        <v>67</v>
      </c>
      <c r="J38" s="5">
        <v>46354</v>
      </c>
      <c r="K38" s="5">
        <v>2020</v>
      </c>
      <c r="L38" s="5" t="s">
        <v>22</v>
      </c>
    </row>
    <row r="39" spans="1:16" x14ac:dyDescent="0.3">
      <c r="A39" s="5" t="s">
        <v>79</v>
      </c>
      <c r="B39" s="5" t="s">
        <v>68</v>
      </c>
      <c r="C39" s="5" t="s">
        <v>17</v>
      </c>
      <c r="D39" s="5" t="s">
        <v>18</v>
      </c>
      <c r="E39" s="5">
        <v>4</v>
      </c>
      <c r="F39" s="8">
        <v>64717</v>
      </c>
      <c r="G39" s="5">
        <v>19</v>
      </c>
      <c r="H39" s="5">
        <v>88.31</v>
      </c>
      <c r="I39" s="5">
        <v>42</v>
      </c>
      <c r="J39" s="5">
        <v>33462</v>
      </c>
      <c r="K39" s="5">
        <v>2023</v>
      </c>
      <c r="L39" s="5" t="s">
        <v>33</v>
      </c>
    </row>
    <row r="40" spans="1:16" x14ac:dyDescent="0.3">
      <c r="A40" s="5" t="s">
        <v>80</v>
      </c>
      <c r="B40" s="5" t="s">
        <v>61</v>
      </c>
      <c r="C40" s="5" t="s">
        <v>39</v>
      </c>
      <c r="D40" s="5" t="s">
        <v>18</v>
      </c>
      <c r="E40" s="5">
        <v>10</v>
      </c>
      <c r="F40" s="8">
        <v>55593</v>
      </c>
      <c r="G40" s="5">
        <v>25</v>
      </c>
      <c r="H40" s="5">
        <v>92.55</v>
      </c>
      <c r="I40" s="5">
        <v>56</v>
      </c>
      <c r="J40" s="5">
        <v>29982</v>
      </c>
      <c r="K40" s="5">
        <v>2021</v>
      </c>
      <c r="L40" s="5" t="s">
        <v>22</v>
      </c>
    </row>
    <row r="41" spans="1:16" x14ac:dyDescent="0.3">
      <c r="A41" s="5" t="s">
        <v>81</v>
      </c>
      <c r="B41" s="5" t="s">
        <v>41</v>
      </c>
      <c r="C41" s="5" t="s">
        <v>17</v>
      </c>
      <c r="D41" s="5" t="s">
        <v>18</v>
      </c>
      <c r="E41" s="5">
        <v>10</v>
      </c>
      <c r="F41" s="8">
        <v>88186</v>
      </c>
      <c r="G41" s="5">
        <v>24</v>
      </c>
      <c r="H41" s="5">
        <v>77.59</v>
      </c>
      <c r="I41" s="5">
        <v>35</v>
      </c>
      <c r="J41" s="5">
        <v>10458</v>
      </c>
      <c r="K41" s="5">
        <v>2020</v>
      </c>
      <c r="L41" s="5" t="s">
        <v>33</v>
      </c>
    </row>
    <row r="42" spans="1:16" x14ac:dyDescent="0.3">
      <c r="A42" s="5" t="s">
        <v>82</v>
      </c>
      <c r="B42" s="5" t="s">
        <v>44</v>
      </c>
      <c r="C42" s="5" t="s">
        <v>21</v>
      </c>
      <c r="D42" s="5" t="s">
        <v>18</v>
      </c>
      <c r="E42" s="5">
        <v>14</v>
      </c>
      <c r="F42" s="8">
        <v>53714</v>
      </c>
      <c r="G42" s="5">
        <v>21</v>
      </c>
      <c r="H42" s="5">
        <v>68.48</v>
      </c>
      <c r="I42" s="5">
        <v>13</v>
      </c>
      <c r="J42" s="5">
        <v>18587</v>
      </c>
      <c r="K42" s="5">
        <v>2018</v>
      </c>
      <c r="L42" s="5" t="s">
        <v>33</v>
      </c>
    </row>
    <row r="43" spans="1:16" x14ac:dyDescent="0.3">
      <c r="A43" s="5" t="s">
        <v>83</v>
      </c>
      <c r="B43" s="5" t="s">
        <v>36</v>
      </c>
      <c r="C43" s="5" t="s">
        <v>12</v>
      </c>
      <c r="D43" s="5" t="s">
        <v>18</v>
      </c>
      <c r="E43" s="5">
        <v>7</v>
      </c>
      <c r="F43" s="8">
        <v>82962</v>
      </c>
      <c r="G43" s="5">
        <v>23</v>
      </c>
      <c r="H43" s="5">
        <v>92.55</v>
      </c>
      <c r="I43" s="5">
        <v>63</v>
      </c>
      <c r="J43" s="5">
        <v>13513</v>
      </c>
      <c r="K43" s="5">
        <v>2021</v>
      </c>
      <c r="L43" s="5" t="s">
        <v>22</v>
      </c>
    </row>
    <row r="44" spans="1:16" x14ac:dyDescent="0.3">
      <c r="A44" s="5" t="s">
        <v>84</v>
      </c>
      <c r="B44" s="5" t="s">
        <v>38</v>
      </c>
      <c r="C44" s="5" t="s">
        <v>31</v>
      </c>
      <c r="D44" s="5" t="s">
        <v>32</v>
      </c>
      <c r="E44" s="5">
        <v>12</v>
      </c>
      <c r="F44" s="8">
        <v>68616</v>
      </c>
      <c r="G44" s="5">
        <v>22</v>
      </c>
      <c r="H44" s="5">
        <v>87.16</v>
      </c>
      <c r="I44" s="5">
        <v>58</v>
      </c>
      <c r="J44" s="5">
        <v>35848</v>
      </c>
      <c r="K44" s="5">
        <v>2017</v>
      </c>
      <c r="L44" s="5" t="s">
        <v>14</v>
      </c>
    </row>
    <row r="45" spans="1:16" x14ac:dyDescent="0.3">
      <c r="A45" s="5" t="s">
        <v>85</v>
      </c>
      <c r="B45" s="5" t="s">
        <v>68</v>
      </c>
      <c r="C45" s="5" t="s">
        <v>12</v>
      </c>
      <c r="D45" s="5" t="s">
        <v>13</v>
      </c>
      <c r="E45" s="5">
        <v>15</v>
      </c>
      <c r="F45" s="8">
        <v>93032</v>
      </c>
      <c r="G45" s="5">
        <v>21</v>
      </c>
      <c r="H45" s="5">
        <v>95.66</v>
      </c>
      <c r="I45" s="5">
        <v>13</v>
      </c>
      <c r="J45" s="5">
        <v>27112</v>
      </c>
      <c r="K45" s="5">
        <v>2024</v>
      </c>
      <c r="L45" s="5" t="s">
        <v>33</v>
      </c>
      <c r="O45" s="9" t="s">
        <v>163</v>
      </c>
      <c r="P45" t="s">
        <v>166</v>
      </c>
    </row>
    <row r="46" spans="1:16" x14ac:dyDescent="0.3">
      <c r="A46" s="5" t="s">
        <v>86</v>
      </c>
      <c r="B46" s="5" t="s">
        <v>73</v>
      </c>
      <c r="C46" s="5" t="s">
        <v>12</v>
      </c>
      <c r="D46" s="5" t="s">
        <v>13</v>
      </c>
      <c r="E46" s="5">
        <v>8</v>
      </c>
      <c r="F46" s="8">
        <v>101765</v>
      </c>
      <c r="G46" s="5">
        <v>8</v>
      </c>
      <c r="H46" s="5">
        <v>77.459999999999994</v>
      </c>
      <c r="I46" s="5">
        <v>55</v>
      </c>
      <c r="J46" s="5">
        <v>12930</v>
      </c>
      <c r="K46" s="5">
        <v>2022</v>
      </c>
      <c r="L46" s="5" t="s">
        <v>14</v>
      </c>
      <c r="O46" s="10" t="s">
        <v>24</v>
      </c>
      <c r="P46" s="17">
        <v>945.58999999999992</v>
      </c>
    </row>
    <row r="47" spans="1:16" x14ac:dyDescent="0.3">
      <c r="A47" s="5" t="s">
        <v>87</v>
      </c>
      <c r="B47" s="5" t="s">
        <v>38</v>
      </c>
      <c r="C47" s="5" t="s">
        <v>12</v>
      </c>
      <c r="D47" s="5" t="s">
        <v>28</v>
      </c>
      <c r="E47" s="5">
        <v>1</v>
      </c>
      <c r="F47" s="8">
        <v>69681</v>
      </c>
      <c r="G47" s="5">
        <v>9</v>
      </c>
      <c r="H47" s="5">
        <v>73.42</v>
      </c>
      <c r="I47" s="5">
        <v>6</v>
      </c>
      <c r="J47" s="5">
        <v>6842</v>
      </c>
      <c r="K47" s="5">
        <v>2024</v>
      </c>
      <c r="L47" s="5" t="s">
        <v>22</v>
      </c>
      <c r="O47" s="10" t="s">
        <v>36</v>
      </c>
      <c r="P47" s="17">
        <v>510.13</v>
      </c>
    </row>
    <row r="48" spans="1:16" x14ac:dyDescent="0.3">
      <c r="A48" s="5" t="s">
        <v>88</v>
      </c>
      <c r="B48" s="5" t="s">
        <v>11</v>
      </c>
      <c r="C48" s="5" t="s">
        <v>31</v>
      </c>
      <c r="D48" s="5" t="s">
        <v>13</v>
      </c>
      <c r="E48" s="5">
        <v>14</v>
      </c>
      <c r="F48" s="8">
        <v>39006</v>
      </c>
      <c r="G48" s="5">
        <v>6</v>
      </c>
      <c r="H48" s="5">
        <v>67.14</v>
      </c>
      <c r="I48" s="5">
        <v>27</v>
      </c>
      <c r="J48" s="5">
        <v>18925</v>
      </c>
      <c r="K48" s="5">
        <v>2022</v>
      </c>
      <c r="L48" s="5" t="s">
        <v>33</v>
      </c>
      <c r="O48" s="10" t="s">
        <v>68</v>
      </c>
      <c r="P48" s="17">
        <v>524.18999999999994</v>
      </c>
    </row>
    <row r="49" spans="1:16" x14ac:dyDescent="0.3">
      <c r="A49" s="5" t="s">
        <v>89</v>
      </c>
      <c r="B49" s="5" t="s">
        <v>90</v>
      </c>
      <c r="C49" s="5" t="s">
        <v>17</v>
      </c>
      <c r="D49" s="5" t="s">
        <v>18</v>
      </c>
      <c r="E49" s="5">
        <v>3</v>
      </c>
      <c r="F49" s="8">
        <v>40955</v>
      </c>
      <c r="G49" s="5">
        <v>3</v>
      </c>
      <c r="H49" s="5">
        <v>76.11</v>
      </c>
      <c r="I49" s="5">
        <v>14</v>
      </c>
      <c r="J49" s="5">
        <v>44763</v>
      </c>
      <c r="K49" s="5">
        <v>2023</v>
      </c>
      <c r="L49" s="5" t="s">
        <v>22</v>
      </c>
      <c r="O49" s="10" t="s">
        <v>44</v>
      </c>
      <c r="P49" s="17">
        <v>612.64</v>
      </c>
    </row>
    <row r="50" spans="1:16" x14ac:dyDescent="0.3">
      <c r="A50" s="5" t="s">
        <v>91</v>
      </c>
      <c r="B50" s="5" t="s">
        <v>38</v>
      </c>
      <c r="C50" s="5" t="s">
        <v>39</v>
      </c>
      <c r="D50" s="5" t="s">
        <v>18</v>
      </c>
      <c r="E50" s="5">
        <v>6</v>
      </c>
      <c r="F50" s="8">
        <v>80365</v>
      </c>
      <c r="G50" s="5">
        <v>25</v>
      </c>
      <c r="H50" s="5">
        <v>98.61</v>
      </c>
      <c r="I50" s="5">
        <v>5</v>
      </c>
      <c r="J50" s="5">
        <v>32198</v>
      </c>
      <c r="K50" s="5">
        <v>2016</v>
      </c>
      <c r="L50" s="5" t="s">
        <v>14</v>
      </c>
      <c r="O50" s="10" t="s">
        <v>49</v>
      </c>
      <c r="P50" s="17">
        <v>558.79999999999995</v>
      </c>
    </row>
    <row r="51" spans="1:16" x14ac:dyDescent="0.3">
      <c r="A51" s="5" t="s">
        <v>92</v>
      </c>
      <c r="B51" s="5" t="s">
        <v>24</v>
      </c>
      <c r="C51" s="5" t="s">
        <v>31</v>
      </c>
      <c r="D51" s="5" t="s">
        <v>32</v>
      </c>
      <c r="E51" s="5">
        <v>2</v>
      </c>
      <c r="F51" s="8">
        <v>37834</v>
      </c>
      <c r="G51" s="5">
        <v>8</v>
      </c>
      <c r="H51" s="5">
        <v>96.44</v>
      </c>
      <c r="I51" s="5">
        <v>48</v>
      </c>
      <c r="J51" s="5">
        <v>28223</v>
      </c>
      <c r="K51" s="5">
        <v>2019</v>
      </c>
      <c r="L51" s="5" t="s">
        <v>14</v>
      </c>
      <c r="O51" s="10" t="s">
        <v>164</v>
      </c>
      <c r="P51" s="17">
        <v>3151.3499999999995</v>
      </c>
    </row>
    <row r="52" spans="1:16" x14ac:dyDescent="0.3">
      <c r="A52" s="5" t="s">
        <v>93</v>
      </c>
      <c r="B52" s="5" t="s">
        <v>49</v>
      </c>
      <c r="C52" s="5" t="s">
        <v>12</v>
      </c>
      <c r="D52" s="5" t="s">
        <v>18</v>
      </c>
      <c r="E52" s="5">
        <v>15</v>
      </c>
      <c r="F52" s="8">
        <v>63655</v>
      </c>
      <c r="G52" s="5">
        <v>11</v>
      </c>
      <c r="H52" s="5">
        <v>95.39</v>
      </c>
      <c r="I52" s="5">
        <v>11</v>
      </c>
      <c r="J52" s="5">
        <v>24711</v>
      </c>
      <c r="K52" s="5">
        <v>2018</v>
      </c>
      <c r="L52" s="5" t="s">
        <v>22</v>
      </c>
    </row>
    <row r="53" spans="1:16" x14ac:dyDescent="0.3">
      <c r="A53" s="5" t="s">
        <v>94</v>
      </c>
      <c r="B53" s="5" t="s">
        <v>44</v>
      </c>
      <c r="C53" s="5" t="s">
        <v>25</v>
      </c>
      <c r="D53" s="5" t="s">
        <v>28</v>
      </c>
      <c r="E53" s="5">
        <v>13</v>
      </c>
      <c r="F53" s="8">
        <v>69955</v>
      </c>
      <c r="G53" s="5">
        <v>8</v>
      </c>
      <c r="H53" s="5">
        <v>92.1</v>
      </c>
      <c r="I53" s="5">
        <v>22</v>
      </c>
      <c r="J53" s="5">
        <v>7399</v>
      </c>
      <c r="K53" s="5">
        <v>2021</v>
      </c>
      <c r="L53" s="5" t="s">
        <v>33</v>
      </c>
    </row>
    <row r="54" spans="1:16" x14ac:dyDescent="0.3">
      <c r="A54" s="5" t="s">
        <v>95</v>
      </c>
      <c r="B54" s="5" t="s">
        <v>36</v>
      </c>
      <c r="C54" s="5" t="s">
        <v>31</v>
      </c>
      <c r="D54" s="5" t="s">
        <v>18</v>
      </c>
      <c r="E54" s="5">
        <v>14</v>
      </c>
      <c r="F54" s="8">
        <v>62596</v>
      </c>
      <c r="G54" s="5">
        <v>5</v>
      </c>
      <c r="H54" s="5">
        <v>77.95</v>
      </c>
      <c r="I54" s="5">
        <v>29</v>
      </c>
      <c r="J54" s="5">
        <v>29302</v>
      </c>
      <c r="K54" s="5">
        <v>2016</v>
      </c>
      <c r="L54" s="5" t="s">
        <v>33</v>
      </c>
    </row>
    <row r="55" spans="1:16" x14ac:dyDescent="0.3">
      <c r="A55" s="5" t="s">
        <v>96</v>
      </c>
      <c r="B55" s="5" t="s">
        <v>73</v>
      </c>
      <c r="C55" s="5" t="s">
        <v>21</v>
      </c>
      <c r="D55" s="5" t="s">
        <v>28</v>
      </c>
      <c r="E55" s="5">
        <v>5</v>
      </c>
      <c r="F55" s="8">
        <v>70722</v>
      </c>
      <c r="G55" s="5">
        <v>9</v>
      </c>
      <c r="H55" s="5">
        <v>64.08</v>
      </c>
      <c r="I55" s="5">
        <v>47</v>
      </c>
      <c r="J55" s="5">
        <v>6436</v>
      </c>
      <c r="K55" s="5">
        <v>2017</v>
      </c>
      <c r="L55" s="5" t="s">
        <v>14</v>
      </c>
    </row>
    <row r="56" spans="1:16" x14ac:dyDescent="0.3">
      <c r="A56" s="5" t="s">
        <v>97</v>
      </c>
      <c r="B56" s="5" t="s">
        <v>44</v>
      </c>
      <c r="C56" s="5" t="s">
        <v>12</v>
      </c>
      <c r="D56" s="5" t="s">
        <v>28</v>
      </c>
      <c r="E56" s="5">
        <v>11</v>
      </c>
      <c r="F56" s="8">
        <v>41530</v>
      </c>
      <c r="G56" s="5">
        <v>23</v>
      </c>
      <c r="H56" s="5">
        <v>96.65</v>
      </c>
      <c r="I56" s="5">
        <v>62</v>
      </c>
      <c r="J56" s="5">
        <v>36503</v>
      </c>
      <c r="K56" s="5">
        <v>2024</v>
      </c>
      <c r="L56" s="5" t="s">
        <v>33</v>
      </c>
    </row>
    <row r="57" spans="1:16" x14ac:dyDescent="0.3">
      <c r="A57" s="5" t="s">
        <v>98</v>
      </c>
      <c r="B57" s="5" t="s">
        <v>73</v>
      </c>
      <c r="C57" s="5" t="s">
        <v>12</v>
      </c>
      <c r="D57" s="5" t="s">
        <v>18</v>
      </c>
      <c r="E57" s="5">
        <v>11</v>
      </c>
      <c r="F57" s="8">
        <v>104363</v>
      </c>
      <c r="G57" s="5">
        <v>2</v>
      </c>
      <c r="H57" s="5">
        <v>95.16</v>
      </c>
      <c r="I57" s="5">
        <v>67</v>
      </c>
      <c r="J57" s="5">
        <v>30190</v>
      </c>
      <c r="K57" s="5">
        <v>2015</v>
      </c>
      <c r="L57" s="5" t="s">
        <v>22</v>
      </c>
    </row>
    <row r="58" spans="1:16" x14ac:dyDescent="0.3">
      <c r="A58" s="5" t="s">
        <v>99</v>
      </c>
      <c r="B58" s="5" t="s">
        <v>24</v>
      </c>
      <c r="C58" s="5" t="s">
        <v>31</v>
      </c>
      <c r="D58" s="5" t="s">
        <v>32</v>
      </c>
      <c r="E58" s="5">
        <v>7</v>
      </c>
      <c r="F58" s="8">
        <v>65521</v>
      </c>
      <c r="G58" s="5">
        <v>21</v>
      </c>
      <c r="H58" s="5">
        <v>82.9</v>
      </c>
      <c r="I58" s="5">
        <v>76</v>
      </c>
      <c r="J58" s="5">
        <v>12760</v>
      </c>
      <c r="K58" s="5">
        <v>2024</v>
      </c>
      <c r="L58" s="5" t="s">
        <v>22</v>
      </c>
    </row>
    <row r="59" spans="1:16" x14ac:dyDescent="0.3">
      <c r="A59" s="5" t="s">
        <v>100</v>
      </c>
      <c r="B59" s="5" t="s">
        <v>55</v>
      </c>
      <c r="C59" s="5" t="s">
        <v>21</v>
      </c>
      <c r="D59" s="5" t="s">
        <v>32</v>
      </c>
      <c r="E59" s="5">
        <v>10</v>
      </c>
      <c r="F59" s="8">
        <v>69746</v>
      </c>
      <c r="G59" s="5">
        <v>18</v>
      </c>
      <c r="H59" s="5">
        <v>64.900000000000006</v>
      </c>
      <c r="I59" s="5">
        <v>5</v>
      </c>
      <c r="J59" s="5">
        <v>17941</v>
      </c>
      <c r="K59" s="5">
        <v>2022</v>
      </c>
      <c r="L59" s="5" t="s">
        <v>14</v>
      </c>
    </row>
    <row r="60" spans="1:16" x14ac:dyDescent="0.3">
      <c r="A60" s="5" t="s">
        <v>101</v>
      </c>
      <c r="B60" s="5" t="s">
        <v>90</v>
      </c>
      <c r="C60" s="5" t="s">
        <v>25</v>
      </c>
      <c r="D60" s="5" t="s">
        <v>28</v>
      </c>
      <c r="E60" s="5">
        <v>10</v>
      </c>
      <c r="F60" s="8">
        <v>115922</v>
      </c>
      <c r="G60" s="5">
        <v>21</v>
      </c>
      <c r="H60" s="5">
        <v>85.98</v>
      </c>
      <c r="I60" s="5">
        <v>79</v>
      </c>
      <c r="J60" s="5">
        <v>27940</v>
      </c>
      <c r="K60" s="5">
        <v>2019</v>
      </c>
      <c r="L60" s="5" t="s">
        <v>22</v>
      </c>
    </row>
    <row r="61" spans="1:16" x14ac:dyDescent="0.3">
      <c r="A61" s="5" t="s">
        <v>102</v>
      </c>
      <c r="B61" s="5" t="s">
        <v>27</v>
      </c>
      <c r="C61" s="5" t="s">
        <v>17</v>
      </c>
      <c r="D61" s="5" t="s">
        <v>18</v>
      </c>
      <c r="E61" s="5">
        <v>3</v>
      </c>
      <c r="F61" s="8">
        <v>96338</v>
      </c>
      <c r="G61" s="5">
        <v>9</v>
      </c>
      <c r="H61" s="5">
        <v>67.569999999999993</v>
      </c>
      <c r="I61" s="5">
        <v>13</v>
      </c>
      <c r="J61" s="5">
        <v>34137</v>
      </c>
      <c r="K61" s="5">
        <v>2016</v>
      </c>
      <c r="L61" s="5" t="s">
        <v>33</v>
      </c>
    </row>
    <row r="62" spans="1:16" x14ac:dyDescent="0.3">
      <c r="A62" s="5" t="s">
        <v>103</v>
      </c>
      <c r="B62" s="5" t="s">
        <v>63</v>
      </c>
      <c r="C62" s="5" t="s">
        <v>12</v>
      </c>
      <c r="D62" s="5" t="s">
        <v>32</v>
      </c>
      <c r="E62" s="5">
        <v>2</v>
      </c>
      <c r="F62" s="8">
        <v>99428</v>
      </c>
      <c r="G62" s="5">
        <v>16</v>
      </c>
      <c r="H62" s="5">
        <v>84.78</v>
      </c>
      <c r="I62" s="5">
        <v>42</v>
      </c>
      <c r="J62" s="5">
        <v>35653</v>
      </c>
      <c r="K62" s="5">
        <v>2022</v>
      </c>
      <c r="L62" s="5" t="s">
        <v>22</v>
      </c>
    </row>
    <row r="63" spans="1:16" x14ac:dyDescent="0.3">
      <c r="A63" s="5" t="s">
        <v>104</v>
      </c>
      <c r="B63" s="5" t="s">
        <v>20</v>
      </c>
      <c r="C63" s="5" t="s">
        <v>21</v>
      </c>
      <c r="D63" s="5" t="s">
        <v>32</v>
      </c>
      <c r="E63" s="5">
        <v>8</v>
      </c>
      <c r="F63" s="8">
        <v>74866</v>
      </c>
      <c r="G63" s="5">
        <v>19</v>
      </c>
      <c r="H63" s="5">
        <v>92.95</v>
      </c>
      <c r="I63" s="5">
        <v>49</v>
      </c>
      <c r="J63" s="5">
        <v>12365</v>
      </c>
      <c r="K63" s="5">
        <v>2023</v>
      </c>
      <c r="L63" s="5" t="s">
        <v>33</v>
      </c>
    </row>
    <row r="64" spans="1:16" x14ac:dyDescent="0.3">
      <c r="A64" s="5" t="s">
        <v>105</v>
      </c>
      <c r="B64" s="5" t="s">
        <v>24</v>
      </c>
      <c r="C64" s="5" t="s">
        <v>39</v>
      </c>
      <c r="D64" s="5" t="s">
        <v>28</v>
      </c>
      <c r="E64" s="5">
        <v>14</v>
      </c>
      <c r="F64" s="8">
        <v>113097</v>
      </c>
      <c r="G64" s="5">
        <v>2</v>
      </c>
      <c r="H64" s="5">
        <v>89.11</v>
      </c>
      <c r="I64" s="5">
        <v>44</v>
      </c>
      <c r="J64" s="5">
        <v>14175</v>
      </c>
      <c r="K64" s="5">
        <v>2015</v>
      </c>
      <c r="L64" s="5" t="s">
        <v>22</v>
      </c>
    </row>
    <row r="65" spans="1:16" x14ac:dyDescent="0.3">
      <c r="A65" s="5" t="s">
        <v>106</v>
      </c>
      <c r="B65" s="5" t="s">
        <v>63</v>
      </c>
      <c r="C65" s="5" t="s">
        <v>17</v>
      </c>
      <c r="D65" s="5" t="s">
        <v>32</v>
      </c>
      <c r="E65" s="5">
        <v>2</v>
      </c>
      <c r="F65" s="8">
        <v>99658</v>
      </c>
      <c r="G65" s="5">
        <v>14</v>
      </c>
      <c r="H65" s="5">
        <v>66.37</v>
      </c>
      <c r="I65" s="5">
        <v>70</v>
      </c>
      <c r="J65" s="5">
        <v>29781</v>
      </c>
      <c r="K65" s="5">
        <v>2021</v>
      </c>
      <c r="L65" s="5" t="s">
        <v>22</v>
      </c>
    </row>
    <row r="66" spans="1:16" x14ac:dyDescent="0.3">
      <c r="A66" s="5" t="s">
        <v>107</v>
      </c>
      <c r="B66" s="5" t="s">
        <v>24</v>
      </c>
      <c r="C66" s="5" t="s">
        <v>12</v>
      </c>
      <c r="D66" s="5" t="s">
        <v>18</v>
      </c>
      <c r="E66" s="5">
        <v>15</v>
      </c>
      <c r="F66" s="8">
        <v>70196</v>
      </c>
      <c r="G66" s="5">
        <v>9</v>
      </c>
      <c r="H66" s="5">
        <v>76.84</v>
      </c>
      <c r="I66" s="5">
        <v>23</v>
      </c>
      <c r="J66" s="5">
        <v>7748</v>
      </c>
      <c r="K66" s="5">
        <v>2022</v>
      </c>
      <c r="L66" s="5" t="s">
        <v>33</v>
      </c>
    </row>
    <row r="67" spans="1:16" x14ac:dyDescent="0.3">
      <c r="A67" s="5" t="s">
        <v>108</v>
      </c>
      <c r="B67" s="5" t="s">
        <v>27</v>
      </c>
      <c r="C67" s="5" t="s">
        <v>39</v>
      </c>
      <c r="D67" s="5" t="s">
        <v>18</v>
      </c>
      <c r="E67" s="5">
        <v>10</v>
      </c>
      <c r="F67" s="8">
        <v>93204</v>
      </c>
      <c r="G67" s="5">
        <v>23</v>
      </c>
      <c r="H67" s="5">
        <v>77.64</v>
      </c>
      <c r="I67" s="5">
        <v>50</v>
      </c>
      <c r="J67" s="5">
        <v>16310</v>
      </c>
      <c r="K67" s="5">
        <v>2020</v>
      </c>
      <c r="L67" s="5" t="s">
        <v>22</v>
      </c>
    </row>
    <row r="68" spans="1:16" x14ac:dyDescent="0.3">
      <c r="A68" s="5" t="s">
        <v>109</v>
      </c>
      <c r="B68" s="5" t="s">
        <v>53</v>
      </c>
      <c r="C68" s="5" t="s">
        <v>31</v>
      </c>
      <c r="D68" s="5" t="s">
        <v>18</v>
      </c>
      <c r="E68" s="5">
        <v>2</v>
      </c>
      <c r="F68" s="8">
        <v>82228</v>
      </c>
      <c r="G68" s="5">
        <v>3</v>
      </c>
      <c r="H68" s="5">
        <v>86.24</v>
      </c>
      <c r="I68" s="5">
        <v>40</v>
      </c>
      <c r="J68" s="5">
        <v>12696</v>
      </c>
      <c r="K68" s="5">
        <v>2023</v>
      </c>
      <c r="L68" s="5" t="s">
        <v>33</v>
      </c>
    </row>
    <row r="69" spans="1:16" x14ac:dyDescent="0.3">
      <c r="A69" s="5" t="s">
        <v>110</v>
      </c>
      <c r="B69" s="5" t="s">
        <v>47</v>
      </c>
      <c r="C69" s="5" t="s">
        <v>25</v>
      </c>
      <c r="D69" s="5" t="s">
        <v>13</v>
      </c>
      <c r="E69" s="5">
        <v>1</v>
      </c>
      <c r="F69" s="8">
        <v>87289</v>
      </c>
      <c r="G69" s="5">
        <v>20</v>
      </c>
      <c r="H69" s="5">
        <v>89.74</v>
      </c>
      <c r="I69" s="5">
        <v>64</v>
      </c>
      <c r="J69" s="5">
        <v>21702</v>
      </c>
      <c r="K69" s="5">
        <v>2019</v>
      </c>
      <c r="L69" s="5" t="s">
        <v>33</v>
      </c>
      <c r="O69" s="9" t="s">
        <v>163</v>
      </c>
      <c r="P69" t="s">
        <v>168</v>
      </c>
    </row>
    <row r="70" spans="1:16" x14ac:dyDescent="0.3">
      <c r="A70" s="5" t="s">
        <v>111</v>
      </c>
      <c r="B70" s="5" t="s">
        <v>47</v>
      </c>
      <c r="C70" s="5" t="s">
        <v>21</v>
      </c>
      <c r="D70" s="5" t="s">
        <v>32</v>
      </c>
      <c r="E70" s="5">
        <v>1</v>
      </c>
      <c r="F70" s="8">
        <v>100579</v>
      </c>
      <c r="G70" s="5">
        <v>2</v>
      </c>
      <c r="H70" s="5">
        <v>78.44</v>
      </c>
      <c r="I70" s="5">
        <v>40</v>
      </c>
      <c r="J70" s="5">
        <v>29140</v>
      </c>
      <c r="K70" s="5">
        <v>2022</v>
      </c>
      <c r="L70" s="5" t="s">
        <v>14</v>
      </c>
      <c r="O70" s="10" t="s">
        <v>33</v>
      </c>
      <c r="P70" s="17">
        <v>481</v>
      </c>
    </row>
    <row r="71" spans="1:16" x14ac:dyDescent="0.3">
      <c r="A71" s="5" t="s">
        <v>112</v>
      </c>
      <c r="B71" s="5" t="s">
        <v>24</v>
      </c>
      <c r="C71" s="5" t="s">
        <v>17</v>
      </c>
      <c r="D71" s="5" t="s">
        <v>28</v>
      </c>
      <c r="E71" s="5">
        <v>14</v>
      </c>
      <c r="F71" s="8">
        <v>44201</v>
      </c>
      <c r="G71" s="5">
        <v>1</v>
      </c>
      <c r="H71" s="5">
        <v>79.73</v>
      </c>
      <c r="I71" s="5">
        <v>29</v>
      </c>
      <c r="J71" s="5">
        <v>27430</v>
      </c>
      <c r="K71" s="5">
        <v>2016</v>
      </c>
      <c r="L71" s="5" t="s">
        <v>33</v>
      </c>
      <c r="O71" s="10" t="s">
        <v>22</v>
      </c>
      <c r="P71" s="17">
        <v>511</v>
      </c>
    </row>
    <row r="72" spans="1:16" x14ac:dyDescent="0.3">
      <c r="A72" s="5" t="s">
        <v>113</v>
      </c>
      <c r="B72" s="5" t="s">
        <v>11</v>
      </c>
      <c r="C72" s="5" t="s">
        <v>17</v>
      </c>
      <c r="D72" s="5" t="s">
        <v>32</v>
      </c>
      <c r="E72" s="5">
        <v>12</v>
      </c>
      <c r="F72" s="8">
        <v>42754</v>
      </c>
      <c r="G72" s="5">
        <v>13</v>
      </c>
      <c r="H72" s="5">
        <v>65.19</v>
      </c>
      <c r="I72" s="5">
        <v>14</v>
      </c>
      <c r="J72" s="5">
        <v>35471</v>
      </c>
      <c r="K72" s="5">
        <v>2022</v>
      </c>
      <c r="L72" s="5" t="s">
        <v>33</v>
      </c>
      <c r="O72" s="10" t="s">
        <v>14</v>
      </c>
      <c r="P72" s="17">
        <v>322</v>
      </c>
    </row>
    <row r="73" spans="1:16" x14ac:dyDescent="0.3">
      <c r="A73" s="5" t="s">
        <v>114</v>
      </c>
      <c r="B73" s="5" t="s">
        <v>90</v>
      </c>
      <c r="C73" s="5" t="s">
        <v>17</v>
      </c>
      <c r="D73" s="5" t="s">
        <v>13</v>
      </c>
      <c r="E73" s="5">
        <v>10</v>
      </c>
      <c r="F73" s="8">
        <v>39560</v>
      </c>
      <c r="G73" s="5">
        <v>24</v>
      </c>
      <c r="H73" s="5">
        <v>78.3</v>
      </c>
      <c r="I73" s="5">
        <v>55</v>
      </c>
      <c r="J73" s="5">
        <v>44043</v>
      </c>
      <c r="K73" s="5">
        <v>2021</v>
      </c>
      <c r="L73" s="5" t="s">
        <v>14</v>
      </c>
      <c r="O73" s="10" t="s">
        <v>164</v>
      </c>
      <c r="P73" s="17">
        <v>1314</v>
      </c>
    </row>
    <row r="74" spans="1:16" x14ac:dyDescent="0.3">
      <c r="A74" s="5" t="s">
        <v>115</v>
      </c>
      <c r="B74" s="5" t="s">
        <v>20</v>
      </c>
      <c r="C74" s="5" t="s">
        <v>17</v>
      </c>
      <c r="D74" s="5" t="s">
        <v>28</v>
      </c>
      <c r="E74" s="5">
        <v>8</v>
      </c>
      <c r="F74" s="8">
        <v>60118</v>
      </c>
      <c r="G74" s="5">
        <v>11</v>
      </c>
      <c r="H74" s="5">
        <v>77.34</v>
      </c>
      <c r="I74" s="5">
        <v>16</v>
      </c>
      <c r="J74" s="5">
        <v>49516</v>
      </c>
      <c r="K74" s="5">
        <v>2025</v>
      </c>
      <c r="L74" s="5" t="s">
        <v>14</v>
      </c>
    </row>
    <row r="75" spans="1:16" x14ac:dyDescent="0.3">
      <c r="A75" s="5" t="s">
        <v>116</v>
      </c>
      <c r="B75" s="5" t="s">
        <v>73</v>
      </c>
      <c r="C75" s="5" t="s">
        <v>39</v>
      </c>
      <c r="D75" s="5" t="s">
        <v>28</v>
      </c>
      <c r="E75" s="5">
        <v>4</v>
      </c>
      <c r="F75" s="8">
        <v>64930</v>
      </c>
      <c r="G75" s="5">
        <v>18</v>
      </c>
      <c r="H75" s="5">
        <v>94.68</v>
      </c>
      <c r="I75" s="5">
        <v>20</v>
      </c>
      <c r="J75" s="5">
        <v>10149</v>
      </c>
      <c r="K75" s="5">
        <v>2017</v>
      </c>
      <c r="L75" s="5" t="s">
        <v>33</v>
      </c>
    </row>
    <row r="76" spans="1:16" x14ac:dyDescent="0.3">
      <c r="A76" s="5" t="s">
        <v>117</v>
      </c>
      <c r="B76" s="5" t="s">
        <v>16</v>
      </c>
      <c r="C76" s="5" t="s">
        <v>12</v>
      </c>
      <c r="D76" s="5" t="s">
        <v>28</v>
      </c>
      <c r="E76" s="5">
        <v>14</v>
      </c>
      <c r="F76" s="8">
        <v>36880</v>
      </c>
      <c r="G76" s="5">
        <v>17</v>
      </c>
      <c r="H76" s="5">
        <v>79.97</v>
      </c>
      <c r="I76" s="5">
        <v>28</v>
      </c>
      <c r="J76" s="5">
        <v>6437</v>
      </c>
      <c r="K76" s="5">
        <v>2017</v>
      </c>
      <c r="L76" s="5" t="s">
        <v>22</v>
      </c>
    </row>
    <row r="77" spans="1:16" x14ac:dyDescent="0.3">
      <c r="A77" s="5" t="s">
        <v>118</v>
      </c>
      <c r="B77" s="5" t="s">
        <v>27</v>
      </c>
      <c r="C77" s="5" t="s">
        <v>39</v>
      </c>
      <c r="D77" s="5" t="s">
        <v>28</v>
      </c>
      <c r="E77" s="5">
        <v>1</v>
      </c>
      <c r="F77" s="8">
        <v>60064</v>
      </c>
      <c r="G77" s="5">
        <v>4</v>
      </c>
      <c r="H77" s="5">
        <v>64.92</v>
      </c>
      <c r="I77" s="5">
        <v>66</v>
      </c>
      <c r="J77" s="5">
        <v>39186</v>
      </c>
      <c r="K77" s="5">
        <v>2021</v>
      </c>
      <c r="L77" s="5" t="s">
        <v>22</v>
      </c>
    </row>
    <row r="78" spans="1:16" x14ac:dyDescent="0.3">
      <c r="A78" s="5" t="s">
        <v>119</v>
      </c>
      <c r="B78" s="5" t="s">
        <v>38</v>
      </c>
      <c r="C78" s="5" t="s">
        <v>31</v>
      </c>
      <c r="D78" s="5" t="s">
        <v>13</v>
      </c>
      <c r="E78" s="5">
        <v>10</v>
      </c>
      <c r="F78" s="8">
        <v>69013</v>
      </c>
      <c r="G78" s="5">
        <v>23</v>
      </c>
      <c r="H78" s="5">
        <v>68.44</v>
      </c>
      <c r="I78" s="5">
        <v>33</v>
      </c>
      <c r="J78" s="5">
        <v>31719</v>
      </c>
      <c r="K78" s="5">
        <v>2016</v>
      </c>
      <c r="L78" s="5" t="s">
        <v>22</v>
      </c>
    </row>
    <row r="79" spans="1:16" x14ac:dyDescent="0.3">
      <c r="A79" s="5" t="s">
        <v>120</v>
      </c>
      <c r="B79" s="5" t="s">
        <v>47</v>
      </c>
      <c r="C79" s="5" t="s">
        <v>17</v>
      </c>
      <c r="D79" s="5" t="s">
        <v>28</v>
      </c>
      <c r="E79" s="5">
        <v>11</v>
      </c>
      <c r="F79" s="8">
        <v>51382</v>
      </c>
      <c r="G79" s="5">
        <v>23</v>
      </c>
      <c r="H79" s="5">
        <v>72.03</v>
      </c>
      <c r="I79" s="5">
        <v>6</v>
      </c>
      <c r="J79" s="5">
        <v>6800</v>
      </c>
      <c r="K79" s="5">
        <v>2022</v>
      </c>
      <c r="L79" s="5" t="s">
        <v>22</v>
      </c>
    </row>
    <row r="80" spans="1:16" x14ac:dyDescent="0.3">
      <c r="A80" s="5" t="s">
        <v>121</v>
      </c>
      <c r="B80" s="5" t="s">
        <v>24</v>
      </c>
      <c r="C80" s="5" t="s">
        <v>31</v>
      </c>
      <c r="D80" s="5" t="s">
        <v>13</v>
      </c>
      <c r="E80" s="5">
        <v>5</v>
      </c>
      <c r="F80" s="8">
        <v>35319</v>
      </c>
      <c r="G80" s="5">
        <v>9</v>
      </c>
      <c r="H80" s="5">
        <v>81.790000000000006</v>
      </c>
      <c r="I80" s="5">
        <v>45</v>
      </c>
      <c r="J80" s="5">
        <v>6743</v>
      </c>
      <c r="K80" s="5">
        <v>2021</v>
      </c>
      <c r="L80" s="5" t="s">
        <v>33</v>
      </c>
    </row>
    <row r="81" spans="1:16" x14ac:dyDescent="0.3">
      <c r="A81" s="5" t="s">
        <v>122</v>
      </c>
      <c r="B81" s="5" t="s">
        <v>49</v>
      </c>
      <c r="C81" s="5" t="s">
        <v>12</v>
      </c>
      <c r="D81" s="5" t="s">
        <v>13</v>
      </c>
      <c r="E81" s="5">
        <v>7</v>
      </c>
      <c r="F81" s="8">
        <v>77338</v>
      </c>
      <c r="G81" s="5">
        <v>6</v>
      </c>
      <c r="H81" s="5">
        <v>71.38</v>
      </c>
      <c r="I81" s="5">
        <v>9</v>
      </c>
      <c r="J81" s="5">
        <v>24261</v>
      </c>
      <c r="K81" s="5">
        <v>2021</v>
      </c>
      <c r="L81" s="5" t="s">
        <v>14</v>
      </c>
      <c r="O81" s="9" t="s">
        <v>163</v>
      </c>
      <c r="P81" t="s">
        <v>169</v>
      </c>
    </row>
    <row r="82" spans="1:16" x14ac:dyDescent="0.3">
      <c r="A82" s="5" t="s">
        <v>123</v>
      </c>
      <c r="B82" s="5" t="s">
        <v>71</v>
      </c>
      <c r="C82" s="5" t="s">
        <v>39</v>
      </c>
      <c r="D82" s="5" t="s">
        <v>32</v>
      </c>
      <c r="E82" s="5">
        <v>8</v>
      </c>
      <c r="F82" s="8">
        <v>106076</v>
      </c>
      <c r="G82" s="5">
        <v>21</v>
      </c>
      <c r="H82" s="5">
        <v>75.31</v>
      </c>
      <c r="I82" s="5">
        <v>25</v>
      </c>
      <c r="J82" s="5">
        <v>42861</v>
      </c>
      <c r="K82" s="5">
        <v>2021</v>
      </c>
      <c r="L82" s="5" t="s">
        <v>22</v>
      </c>
      <c r="O82" s="10" t="s">
        <v>33</v>
      </c>
      <c r="P82" s="17">
        <v>80</v>
      </c>
    </row>
    <row r="83" spans="1:16" x14ac:dyDescent="0.3">
      <c r="A83" s="5" t="s">
        <v>124</v>
      </c>
      <c r="B83" s="5" t="s">
        <v>41</v>
      </c>
      <c r="C83" s="5" t="s">
        <v>17</v>
      </c>
      <c r="D83" s="5" t="s">
        <v>18</v>
      </c>
      <c r="E83" s="5">
        <v>15</v>
      </c>
      <c r="F83" s="8">
        <v>53909</v>
      </c>
      <c r="G83" s="5">
        <v>16</v>
      </c>
      <c r="H83" s="5">
        <v>84.94</v>
      </c>
      <c r="I83" s="5">
        <v>19</v>
      </c>
      <c r="J83" s="5">
        <v>26705</v>
      </c>
      <c r="K83" s="5">
        <v>2021</v>
      </c>
      <c r="L83" s="5" t="s">
        <v>33</v>
      </c>
      <c r="O83" s="10" t="s">
        <v>22</v>
      </c>
      <c r="P83" s="17">
        <v>79</v>
      </c>
    </row>
    <row r="84" spans="1:16" x14ac:dyDescent="0.3">
      <c r="A84" s="5" t="s">
        <v>125</v>
      </c>
      <c r="B84" s="5" t="s">
        <v>49</v>
      </c>
      <c r="C84" s="5" t="s">
        <v>17</v>
      </c>
      <c r="D84" s="5" t="s">
        <v>18</v>
      </c>
      <c r="E84" s="5">
        <v>5</v>
      </c>
      <c r="F84" s="8">
        <v>65615</v>
      </c>
      <c r="G84" s="5">
        <v>11</v>
      </c>
      <c r="H84" s="5">
        <v>85.05</v>
      </c>
      <c r="I84" s="5">
        <v>69</v>
      </c>
      <c r="J84" s="5">
        <v>37192</v>
      </c>
      <c r="K84" s="5">
        <v>2020</v>
      </c>
      <c r="L84" s="5" t="s">
        <v>22</v>
      </c>
      <c r="O84" s="10" t="s">
        <v>14</v>
      </c>
      <c r="P84" s="17">
        <v>80</v>
      </c>
    </row>
    <row r="85" spans="1:16" x14ac:dyDescent="0.3">
      <c r="A85" s="5" t="s">
        <v>126</v>
      </c>
      <c r="B85" s="5" t="s">
        <v>49</v>
      </c>
      <c r="C85" s="5" t="s">
        <v>12</v>
      </c>
      <c r="D85" s="5" t="s">
        <v>28</v>
      </c>
      <c r="E85" s="5">
        <v>3</v>
      </c>
      <c r="F85" s="8">
        <v>66308</v>
      </c>
      <c r="G85" s="5">
        <v>2</v>
      </c>
      <c r="H85" s="5">
        <v>86.35</v>
      </c>
      <c r="I85" s="5">
        <v>31</v>
      </c>
      <c r="J85" s="5">
        <v>22120</v>
      </c>
      <c r="K85" s="5">
        <v>2024</v>
      </c>
      <c r="L85" s="5" t="s">
        <v>14</v>
      </c>
      <c r="O85" s="10" t="s">
        <v>164</v>
      </c>
      <c r="P85" s="17">
        <v>80</v>
      </c>
    </row>
    <row r="86" spans="1:16" x14ac:dyDescent="0.3">
      <c r="A86" s="5" t="s">
        <v>127</v>
      </c>
      <c r="B86" s="5" t="s">
        <v>24</v>
      </c>
      <c r="C86" s="5" t="s">
        <v>17</v>
      </c>
      <c r="D86" s="5" t="s">
        <v>18</v>
      </c>
      <c r="E86" s="5">
        <v>7</v>
      </c>
      <c r="F86" s="8">
        <v>85837</v>
      </c>
      <c r="G86" s="5">
        <v>18</v>
      </c>
      <c r="H86" s="5">
        <v>90.56</v>
      </c>
      <c r="I86" s="5">
        <v>54</v>
      </c>
      <c r="J86" s="5">
        <v>22342</v>
      </c>
      <c r="K86" s="5">
        <v>2018</v>
      </c>
      <c r="L86" s="5" t="s">
        <v>33</v>
      </c>
      <c r="O86" s="9" t="s">
        <v>1</v>
      </c>
      <c r="P86" t="s">
        <v>170</v>
      </c>
    </row>
    <row r="87" spans="1:16" x14ac:dyDescent="0.3">
      <c r="A87" s="5" t="s">
        <v>128</v>
      </c>
      <c r="B87" s="5" t="s">
        <v>24</v>
      </c>
      <c r="C87" s="5" t="s">
        <v>39</v>
      </c>
      <c r="D87" s="5" t="s">
        <v>18</v>
      </c>
      <c r="E87" s="5">
        <v>14</v>
      </c>
      <c r="F87" s="8">
        <v>32800</v>
      </c>
      <c r="G87" s="5">
        <v>15</v>
      </c>
      <c r="H87" s="5">
        <v>98.15</v>
      </c>
      <c r="I87" s="5">
        <v>27</v>
      </c>
      <c r="J87" s="5">
        <v>13320</v>
      </c>
      <c r="K87" s="5">
        <v>2017</v>
      </c>
      <c r="L87" s="5" t="s">
        <v>22</v>
      </c>
    </row>
    <row r="88" spans="1:16" x14ac:dyDescent="0.3">
      <c r="A88" s="5" t="s">
        <v>129</v>
      </c>
      <c r="B88" s="5" t="s">
        <v>68</v>
      </c>
      <c r="C88" s="5" t="s">
        <v>39</v>
      </c>
      <c r="D88" s="5" t="s">
        <v>18</v>
      </c>
      <c r="E88" s="5">
        <v>15</v>
      </c>
      <c r="F88" s="8">
        <v>41950</v>
      </c>
      <c r="G88" s="5">
        <v>2</v>
      </c>
      <c r="H88" s="5">
        <v>80.77</v>
      </c>
      <c r="I88" s="5">
        <v>15</v>
      </c>
      <c r="J88" s="5">
        <v>31651</v>
      </c>
      <c r="K88" s="5">
        <v>2020</v>
      </c>
      <c r="L88" s="5" t="s">
        <v>22</v>
      </c>
    </row>
    <row r="89" spans="1:16" x14ac:dyDescent="0.3">
      <c r="A89" s="5" t="s">
        <v>130</v>
      </c>
      <c r="B89" s="5" t="s">
        <v>63</v>
      </c>
      <c r="C89" s="5" t="s">
        <v>12</v>
      </c>
      <c r="D89" s="5" t="s">
        <v>28</v>
      </c>
      <c r="E89" s="5">
        <v>8</v>
      </c>
      <c r="F89" s="8">
        <v>112053</v>
      </c>
      <c r="G89" s="5">
        <v>4</v>
      </c>
      <c r="H89" s="5">
        <v>79.459999999999994</v>
      </c>
      <c r="I89" s="5">
        <v>66</v>
      </c>
      <c r="J89" s="5">
        <v>25757</v>
      </c>
      <c r="K89" s="5">
        <v>2019</v>
      </c>
      <c r="L89" s="5" t="s">
        <v>22</v>
      </c>
    </row>
    <row r="90" spans="1:16" x14ac:dyDescent="0.3">
      <c r="A90" s="5" t="s">
        <v>131</v>
      </c>
      <c r="B90" s="5" t="s">
        <v>36</v>
      </c>
      <c r="C90" s="5" t="s">
        <v>39</v>
      </c>
      <c r="D90" s="5" t="s">
        <v>13</v>
      </c>
      <c r="E90" s="5">
        <v>10</v>
      </c>
      <c r="F90" s="8">
        <v>87119</v>
      </c>
      <c r="G90" s="5">
        <v>15</v>
      </c>
      <c r="H90" s="5">
        <v>90.44</v>
      </c>
      <c r="I90" s="5">
        <v>60</v>
      </c>
      <c r="J90" s="5">
        <v>29197</v>
      </c>
      <c r="K90" s="5">
        <v>2018</v>
      </c>
      <c r="L90" s="5" t="s">
        <v>22</v>
      </c>
    </row>
    <row r="91" spans="1:16" x14ac:dyDescent="0.3">
      <c r="A91" s="5" t="s">
        <v>132</v>
      </c>
      <c r="B91" s="5" t="s">
        <v>71</v>
      </c>
      <c r="C91" s="5" t="s">
        <v>39</v>
      </c>
      <c r="D91" s="5" t="s">
        <v>18</v>
      </c>
      <c r="E91" s="5">
        <v>7</v>
      </c>
      <c r="F91" s="8">
        <v>83054</v>
      </c>
      <c r="G91" s="5">
        <v>6</v>
      </c>
      <c r="H91" s="5">
        <v>60.9</v>
      </c>
      <c r="I91" s="5">
        <v>56</v>
      </c>
      <c r="J91" s="5">
        <v>27331</v>
      </c>
      <c r="K91" s="5">
        <v>2018</v>
      </c>
      <c r="L91" s="5" t="s">
        <v>14</v>
      </c>
    </row>
    <row r="92" spans="1:16" x14ac:dyDescent="0.3">
      <c r="A92" s="5" t="s">
        <v>133</v>
      </c>
      <c r="B92" s="5" t="s">
        <v>44</v>
      </c>
      <c r="C92" s="5" t="s">
        <v>31</v>
      </c>
      <c r="D92" s="5" t="s">
        <v>32</v>
      </c>
      <c r="E92" s="5">
        <v>2</v>
      </c>
      <c r="F92" s="8">
        <v>119518</v>
      </c>
      <c r="G92" s="5">
        <v>23</v>
      </c>
      <c r="H92" s="5">
        <v>91.36</v>
      </c>
      <c r="I92" s="5">
        <v>37</v>
      </c>
      <c r="J92" s="5">
        <v>28397</v>
      </c>
      <c r="K92" s="5">
        <v>2016</v>
      </c>
      <c r="L92" s="5" t="s">
        <v>22</v>
      </c>
    </row>
    <row r="93" spans="1:16" x14ac:dyDescent="0.3">
      <c r="A93" s="5" t="s">
        <v>134</v>
      </c>
      <c r="B93" s="5" t="s">
        <v>68</v>
      </c>
      <c r="C93" s="5" t="s">
        <v>12</v>
      </c>
      <c r="D93" s="5" t="s">
        <v>18</v>
      </c>
      <c r="E93" s="5">
        <v>2</v>
      </c>
      <c r="F93" s="8">
        <v>40665</v>
      </c>
      <c r="G93" s="5">
        <v>7</v>
      </c>
      <c r="H93" s="5">
        <v>72.66</v>
      </c>
      <c r="I93" s="5">
        <v>62</v>
      </c>
      <c r="J93" s="5">
        <v>46085</v>
      </c>
      <c r="K93" s="5">
        <v>2021</v>
      </c>
      <c r="L93" s="5" t="s">
        <v>33</v>
      </c>
    </row>
    <row r="94" spans="1:16" x14ac:dyDescent="0.3">
      <c r="A94" s="5" t="s">
        <v>135</v>
      </c>
      <c r="B94" s="5" t="s">
        <v>90</v>
      </c>
      <c r="C94" s="5" t="s">
        <v>21</v>
      </c>
      <c r="D94" s="5" t="s">
        <v>32</v>
      </c>
      <c r="E94" s="5">
        <v>13</v>
      </c>
      <c r="F94" s="8">
        <v>61581</v>
      </c>
      <c r="G94" s="5">
        <v>9</v>
      </c>
      <c r="H94" s="5">
        <v>89.49</v>
      </c>
      <c r="I94" s="5">
        <v>11</v>
      </c>
      <c r="J94" s="5">
        <v>46888</v>
      </c>
      <c r="K94" s="5">
        <v>2019</v>
      </c>
      <c r="L94" s="5" t="s">
        <v>22</v>
      </c>
    </row>
    <row r="95" spans="1:16" x14ac:dyDescent="0.3">
      <c r="A95" s="5" t="s">
        <v>136</v>
      </c>
      <c r="B95" s="5" t="s">
        <v>27</v>
      </c>
      <c r="C95" s="5" t="s">
        <v>17</v>
      </c>
      <c r="D95" s="5" t="s">
        <v>13</v>
      </c>
      <c r="E95" s="5">
        <v>15</v>
      </c>
      <c r="F95" s="8">
        <v>65195</v>
      </c>
      <c r="G95" s="5">
        <v>12</v>
      </c>
      <c r="H95" s="5">
        <v>93.54</v>
      </c>
      <c r="I95" s="5">
        <v>26</v>
      </c>
      <c r="J95" s="5">
        <v>11109</v>
      </c>
      <c r="K95" s="5">
        <v>2023</v>
      </c>
      <c r="L95" s="5" t="s">
        <v>33</v>
      </c>
    </row>
    <row r="96" spans="1:16" x14ac:dyDescent="0.3">
      <c r="A96" s="5" t="s">
        <v>137</v>
      </c>
      <c r="B96" s="5" t="s">
        <v>44</v>
      </c>
      <c r="C96" s="5" t="s">
        <v>12</v>
      </c>
      <c r="D96" s="5" t="s">
        <v>13</v>
      </c>
      <c r="E96" s="5">
        <v>11</v>
      </c>
      <c r="F96" s="8">
        <v>118349</v>
      </c>
      <c r="G96" s="5">
        <v>6</v>
      </c>
      <c r="H96" s="5">
        <v>91.52</v>
      </c>
      <c r="I96" s="5">
        <v>62</v>
      </c>
      <c r="J96" s="5">
        <v>18224</v>
      </c>
      <c r="K96" s="5">
        <v>2022</v>
      </c>
      <c r="L96" s="5" t="s">
        <v>22</v>
      </c>
    </row>
    <row r="97" spans="1:12" x14ac:dyDescent="0.3">
      <c r="A97" s="5" t="s">
        <v>138</v>
      </c>
      <c r="B97" s="5" t="s">
        <v>11</v>
      </c>
      <c r="C97" s="5" t="s">
        <v>12</v>
      </c>
      <c r="D97" s="5" t="s">
        <v>13</v>
      </c>
      <c r="E97" s="5">
        <v>13</v>
      </c>
      <c r="F97" s="8">
        <v>51884</v>
      </c>
      <c r="G97" s="5">
        <v>17</v>
      </c>
      <c r="H97" s="5">
        <v>84.45</v>
      </c>
      <c r="I97" s="5">
        <v>11</v>
      </c>
      <c r="J97" s="5">
        <v>49954</v>
      </c>
      <c r="K97" s="5">
        <v>2021</v>
      </c>
      <c r="L97" s="5" t="s">
        <v>14</v>
      </c>
    </row>
    <row r="98" spans="1:12" x14ac:dyDescent="0.3">
      <c r="A98" s="5" t="s">
        <v>139</v>
      </c>
      <c r="B98" s="5" t="s">
        <v>55</v>
      </c>
      <c r="C98" s="5" t="s">
        <v>17</v>
      </c>
      <c r="D98" s="5" t="s">
        <v>32</v>
      </c>
      <c r="E98" s="5">
        <v>4</v>
      </c>
      <c r="F98" s="8">
        <v>85245</v>
      </c>
      <c r="G98" s="5">
        <v>12</v>
      </c>
      <c r="H98" s="5">
        <v>71.64</v>
      </c>
      <c r="I98" s="5">
        <v>29</v>
      </c>
      <c r="J98" s="5">
        <v>42467</v>
      </c>
      <c r="K98" s="5">
        <v>2016</v>
      </c>
      <c r="L98" s="5" t="s">
        <v>22</v>
      </c>
    </row>
    <row r="99" spans="1:12" x14ac:dyDescent="0.3">
      <c r="A99" s="5" t="s">
        <v>140</v>
      </c>
      <c r="B99" s="5" t="s">
        <v>49</v>
      </c>
      <c r="C99" s="5" t="s">
        <v>31</v>
      </c>
      <c r="D99" s="5" t="s">
        <v>18</v>
      </c>
      <c r="E99" s="5">
        <v>5</v>
      </c>
      <c r="F99" s="8">
        <v>74090</v>
      </c>
      <c r="G99" s="5">
        <v>4</v>
      </c>
      <c r="H99" s="5">
        <v>61.8</v>
      </c>
      <c r="I99" s="5">
        <v>16</v>
      </c>
      <c r="J99" s="5">
        <v>37772</v>
      </c>
      <c r="K99" s="5">
        <v>2022</v>
      </c>
      <c r="L99" s="5" t="s">
        <v>33</v>
      </c>
    </row>
    <row r="100" spans="1:12" x14ac:dyDescent="0.3">
      <c r="A100" s="5" t="s">
        <v>141</v>
      </c>
      <c r="B100" s="5" t="s">
        <v>24</v>
      </c>
      <c r="C100" s="5" t="s">
        <v>39</v>
      </c>
      <c r="D100" s="5" t="s">
        <v>28</v>
      </c>
      <c r="E100" s="5">
        <v>10</v>
      </c>
      <c r="F100" s="8">
        <v>67489</v>
      </c>
      <c r="G100" s="5">
        <v>4</v>
      </c>
      <c r="H100" s="5">
        <v>92.14</v>
      </c>
      <c r="I100" s="5">
        <v>30</v>
      </c>
      <c r="J100" s="5">
        <v>10305</v>
      </c>
      <c r="K100" s="5">
        <v>2025</v>
      </c>
      <c r="L100" s="5" t="s">
        <v>33</v>
      </c>
    </row>
    <row r="101" spans="1:12" x14ac:dyDescent="0.3">
      <c r="A101" s="5" t="s">
        <v>142</v>
      </c>
      <c r="B101" s="5" t="s">
        <v>68</v>
      </c>
      <c r="C101" s="5" t="s">
        <v>21</v>
      </c>
      <c r="D101" s="5" t="s">
        <v>13</v>
      </c>
      <c r="E101" s="5">
        <v>13</v>
      </c>
      <c r="F101" s="8">
        <v>31490</v>
      </c>
      <c r="G101" s="5">
        <v>11</v>
      </c>
      <c r="H101" s="5">
        <v>98.3</v>
      </c>
      <c r="I101" s="5">
        <v>8</v>
      </c>
      <c r="J101" s="5">
        <v>29527</v>
      </c>
      <c r="K101" s="5">
        <v>2020</v>
      </c>
      <c r="L101" s="5" t="s">
        <v>22</v>
      </c>
    </row>
  </sheetData>
  <pageMargins left="0.75" right="0.75" top="1" bottom="1" header="0.5" footer="0.5"/>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C2F4E-6044-4CAF-A03D-8CDA9881A38D}">
  <dimension ref="A1:W1"/>
  <sheetViews>
    <sheetView tabSelected="1" zoomScaleNormal="100" workbookViewId="0">
      <selection sqref="A1:I1"/>
    </sheetView>
  </sheetViews>
  <sheetFormatPr defaultRowHeight="14.4" x14ac:dyDescent="0.3"/>
  <cols>
    <col min="9" max="9" width="8.88671875" customWidth="1"/>
  </cols>
  <sheetData>
    <row r="1" spans="1:23" ht="46.05" customHeight="1" thickBot="1" x14ac:dyDescent="0.35">
      <c r="A1" s="15"/>
      <c r="B1" s="16"/>
      <c r="C1" s="16"/>
      <c r="D1" s="16"/>
      <c r="E1" s="16"/>
      <c r="F1" s="16"/>
      <c r="G1" s="16"/>
      <c r="H1" s="16"/>
      <c r="I1" s="16"/>
      <c r="J1" s="12" t="s">
        <v>171</v>
      </c>
      <c r="K1" s="12"/>
      <c r="L1" s="12"/>
      <c r="M1" s="12"/>
      <c r="N1" s="12"/>
      <c r="O1" s="12"/>
      <c r="P1" s="12"/>
      <c r="Q1" s="12"/>
      <c r="R1" s="14"/>
      <c r="S1" s="14"/>
      <c r="T1" s="14"/>
      <c r="U1" s="14"/>
      <c r="V1" s="12"/>
      <c r="W1" s="13"/>
    </row>
  </sheetData>
  <mergeCells count="1">
    <mergeCell ref="A1:I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4"/>
  <sheetViews>
    <sheetView workbookViewId="0">
      <selection activeCell="D24" sqref="D24"/>
    </sheetView>
  </sheetViews>
  <sheetFormatPr defaultRowHeight="14.4" x14ac:dyDescent="0.3"/>
  <sheetData>
    <row r="1" spans="1:1" x14ac:dyDescent="0.3">
      <c r="A1" s="1" t="s">
        <v>143</v>
      </c>
    </row>
    <row r="2" spans="1:1" x14ac:dyDescent="0.3">
      <c r="A2" s="2"/>
    </row>
    <row r="3" spans="1:1" x14ac:dyDescent="0.3">
      <c r="A3" s="1" t="s">
        <v>144</v>
      </c>
    </row>
    <row r="4" spans="1:1" x14ac:dyDescent="0.3">
      <c r="A4" s="2" t="s">
        <v>145</v>
      </c>
    </row>
    <row r="5" spans="1:1" x14ac:dyDescent="0.3">
      <c r="A5" s="2" t="s">
        <v>146</v>
      </c>
    </row>
    <row r="6" spans="1:1" x14ac:dyDescent="0.3">
      <c r="A6" s="2" t="s">
        <v>147</v>
      </c>
    </row>
    <row r="7" spans="1:1" x14ac:dyDescent="0.3">
      <c r="A7" s="2"/>
    </row>
    <row r="8" spans="1:1" x14ac:dyDescent="0.3">
      <c r="A8" s="1" t="s">
        <v>148</v>
      </c>
    </row>
    <row r="9" spans="1:1" x14ac:dyDescent="0.3">
      <c r="A9" s="2" t="s">
        <v>149</v>
      </c>
    </row>
    <row r="10" spans="1:1" x14ac:dyDescent="0.3">
      <c r="A10" s="2" t="s">
        <v>150</v>
      </c>
    </row>
    <row r="11" spans="1:1" x14ac:dyDescent="0.3">
      <c r="A11" s="2" t="s">
        <v>151</v>
      </c>
    </row>
    <row r="12" spans="1:1" x14ac:dyDescent="0.3">
      <c r="A12" s="2"/>
    </row>
    <row r="13" spans="1:1" x14ac:dyDescent="0.3">
      <c r="A13" s="1" t="s">
        <v>152</v>
      </c>
    </row>
    <row r="14" spans="1:1" x14ac:dyDescent="0.3">
      <c r="A14" s="2" t="s">
        <v>153</v>
      </c>
    </row>
    <row r="15" spans="1:1" x14ac:dyDescent="0.3">
      <c r="A15" s="2" t="s">
        <v>154</v>
      </c>
    </row>
    <row r="16" spans="1:1" x14ac:dyDescent="0.3">
      <c r="A16" s="3" t="s">
        <v>159</v>
      </c>
    </row>
    <row r="17" spans="1:1" x14ac:dyDescent="0.3">
      <c r="A17" s="2"/>
    </row>
    <row r="18" spans="1:1" x14ac:dyDescent="0.3">
      <c r="A18" s="4" t="s">
        <v>162</v>
      </c>
    </row>
    <row r="19" spans="1:1" x14ac:dyDescent="0.3">
      <c r="A19" s="2" t="s">
        <v>155</v>
      </c>
    </row>
    <row r="20" spans="1:1" x14ac:dyDescent="0.3">
      <c r="A20" s="2" t="s">
        <v>156</v>
      </c>
    </row>
    <row r="21" spans="1:1" x14ac:dyDescent="0.3">
      <c r="A21" s="2" t="s">
        <v>157</v>
      </c>
    </row>
    <row r="22" spans="1:1" x14ac:dyDescent="0.3">
      <c r="A22" s="3" t="s">
        <v>158</v>
      </c>
    </row>
    <row r="23" spans="1:1" x14ac:dyDescent="0.3">
      <c r="A23" s="2"/>
    </row>
    <row r="24" spans="1:1" x14ac:dyDescent="0.3">
      <c r="A24" s="4"/>
    </row>
    <row r="25" spans="1:1" x14ac:dyDescent="0.3">
      <c r="A25" s="2"/>
    </row>
    <row r="26" spans="1:1" x14ac:dyDescent="0.3">
      <c r="A26" s="2"/>
    </row>
    <row r="27" spans="1:1" x14ac:dyDescent="0.3">
      <c r="A27" s="2"/>
    </row>
    <row r="28" spans="1:1" x14ac:dyDescent="0.3">
      <c r="A28" s="3"/>
    </row>
    <row r="29" spans="1:1" x14ac:dyDescent="0.3">
      <c r="A29" s="2"/>
    </row>
    <row r="30" spans="1:1" x14ac:dyDescent="0.3">
      <c r="A30" s="4"/>
    </row>
    <row r="31" spans="1:1" x14ac:dyDescent="0.3">
      <c r="A31" s="3"/>
    </row>
    <row r="32" spans="1:1" x14ac:dyDescent="0.3">
      <c r="A32" s="3"/>
    </row>
    <row r="33" spans="1:1" x14ac:dyDescent="0.3">
      <c r="A33" s="2"/>
    </row>
    <row r="34" spans="1:1" x14ac:dyDescent="0.3">
      <c r="A34"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Employee_Performance_Data</vt:lpstr>
      <vt:lpstr>DASHBOARD CREATION</vt:lpstr>
      <vt:lpstr>Advanced_Excel_Tasks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Shiva Yadav</cp:lastModifiedBy>
  <dcterms:created xsi:type="dcterms:W3CDTF">2026-05-21T11:22:43Z</dcterms:created>
  <dcterms:modified xsi:type="dcterms:W3CDTF">2026-10-11T14:04:49Z</dcterms:modified>
</cp:coreProperties>
</file>